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U AI Act Classification" sheetId="1" state="visible" r:id="rId1"/>
    <sheet name="Risk Register" sheetId="2" state="visible" r:id="rId2"/>
    <sheet name="Vendor Evaluation" sheetId="3" state="visible" r:id="rId3"/>
    <sheet name="Model Card" sheetId="4" state="visible" r:id="rId4"/>
    <sheet name="Monitoring &amp; Incidents" sheetId="5" state="visible" r:id="rId5"/>
    <sheet name="Executive Summary"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4"/>
    </font>
    <font>
      <name val="Arial"/>
      <b val="1"/>
      <color rgb="002C3E50"/>
      <sz val="11"/>
    </font>
    <font>
      <name val="Arial"/>
      <b val="1"/>
      <color rgb="00FFFFFF"/>
      <sz val="12"/>
    </font>
    <font>
      <name val="Arial"/>
      <sz val="10"/>
    </font>
    <font>
      <name val="Arial"/>
      <i val="1"/>
      <color rgb="007F8C8D"/>
      <sz val="10"/>
    </font>
    <font>
      <name val="Arial"/>
      <b val="1"/>
      <sz val="10"/>
    </font>
  </fonts>
  <fills count="12">
    <fill>
      <patternFill/>
    </fill>
    <fill>
      <patternFill patternType="gray125"/>
    </fill>
    <fill>
      <patternFill patternType="solid">
        <fgColor rgb="00C0392B"/>
      </patternFill>
    </fill>
    <fill>
      <patternFill patternType="solid">
        <fgColor rgb="00D5DBDB"/>
      </patternFill>
    </fill>
    <fill>
      <patternFill patternType="solid">
        <fgColor rgb="00922B21"/>
      </patternFill>
    </fill>
    <fill>
      <patternFill patternType="solid">
        <fgColor rgb="00F2F3F4"/>
      </patternFill>
    </fill>
    <fill>
      <patternFill patternType="solid">
        <fgColor rgb="00FEF9E7"/>
      </patternFill>
    </fill>
    <fill>
      <patternFill patternType="solid">
        <fgColor rgb="00D35400"/>
      </patternFill>
    </fill>
    <fill>
      <patternFill patternType="solid">
        <fgColor rgb="002980B9"/>
      </patternFill>
    </fill>
    <fill>
      <patternFill patternType="solid">
        <fgColor rgb="008E44AD"/>
      </patternFill>
    </fill>
    <fill>
      <patternFill patternType="solid">
        <fgColor rgb="00229954"/>
      </patternFill>
    </fill>
    <fill>
      <patternFill patternType="solid">
        <fgColor rgb="006C3483"/>
      </patternFill>
    </fill>
  </fills>
  <borders count="6">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top style="thin">
        <color rgb="00BDC3C7"/>
      </top>
      <bottom style="thin">
        <color rgb="00BDC3C7"/>
      </bottom>
      <diagonal/>
    </border>
    <border>
      <left/>
      <right style="thin">
        <color rgb="00BDC3C7"/>
      </right>
      <top style="thin">
        <color rgb="00BDC3C7"/>
      </top>
      <bottom style="thin">
        <color rgb="00BDC3C7"/>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xf>
    <xf numFmtId="0" fontId="2" fillId="3"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5" borderId="1" applyAlignment="1" pivotButton="0" quotePrefix="0" xfId="0">
      <alignment vertical="top" wrapText="1"/>
    </xf>
    <xf numFmtId="0" fontId="0" fillId="0" borderId="4" pivotButton="0" quotePrefix="0" xfId="0"/>
    <xf numFmtId="0" fontId="0" fillId="0" borderId="5" pivotButton="0" quotePrefix="0" xfId="0"/>
    <xf numFmtId="0" fontId="1" fillId="7" borderId="0" applyAlignment="1" pivotButton="0" quotePrefix="0" xfId="0">
      <alignment horizontal="center"/>
    </xf>
    <xf numFmtId="0" fontId="3" fillId="7" borderId="1" applyAlignment="1" pivotButton="0" quotePrefix="0" xfId="0">
      <alignment horizontal="center" vertical="center" wrapText="1"/>
    </xf>
    <xf numFmtId="0" fontId="4" fillId="5" borderId="1" pivotButton="0" quotePrefix="0" xfId="0"/>
    <xf numFmtId="0" fontId="4" fillId="0" borderId="1" pivotButton="0" quotePrefix="0" xfId="0"/>
    <xf numFmtId="164" fontId="4" fillId="0" borderId="1" pivotButton="0" quotePrefix="0" xfId="0"/>
    <xf numFmtId="0" fontId="1" fillId="8" borderId="0" applyAlignment="1" pivotButton="0" quotePrefix="0" xfId="0">
      <alignment horizontal="center"/>
    </xf>
    <xf numFmtId="0" fontId="3" fillId="8" borderId="1" applyAlignment="1" pivotButton="0" quotePrefix="0" xfId="0">
      <alignment horizontal="center" vertical="center" wrapText="1"/>
    </xf>
    <xf numFmtId="164" fontId="4" fillId="5" borderId="1" pivotButton="0" quotePrefix="0" xfId="0"/>
    <xf numFmtId="0" fontId="1" fillId="9" borderId="0" applyAlignment="1" pivotButton="0" quotePrefix="0" xfId="0">
      <alignment horizontal="center"/>
    </xf>
    <xf numFmtId="0" fontId="1" fillId="10" borderId="0" applyAlignment="1" pivotButton="0" quotePrefix="0" xfId="0">
      <alignment horizontal="center"/>
    </xf>
    <xf numFmtId="0" fontId="3" fillId="10" borderId="1" applyAlignment="1" pivotButton="0" quotePrefix="0" xfId="0">
      <alignment horizontal="center" vertical="center" wrapText="1"/>
    </xf>
    <xf numFmtId="0" fontId="1" fillId="11" borderId="0"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74C3C"/>
    <outlinePr summaryBelow="1" summaryRight="1"/>
    <pageSetUpPr/>
  </sheetPr>
  <dimension ref="A1:F35"/>
  <sheetViews>
    <sheetView workbookViewId="0">
      <selection activeCell="A1" sqref="A1"/>
    </sheetView>
  </sheetViews>
  <sheetFormatPr baseColWidth="8" defaultRowHeight="15"/>
  <cols>
    <col width="25" customWidth="1" min="1" max="1"/>
    <col width="35" customWidth="1" min="2" max="2"/>
    <col width="45" customWidth="1" min="3" max="3"/>
    <col width="35" customWidth="1" min="4" max="4"/>
    <col width="25" customWidth="1" min="5" max="5"/>
    <col width="40" customWidth="1" min="6" max="6"/>
  </cols>
  <sheetData>
    <row r="1">
      <c r="A1" s="1" t="inlineStr">
        <is>
          <t>EU AI ACT RISK CLASSIFICATION — ClinicalCompanion v1.0</t>
        </is>
      </c>
    </row>
    <row r="3">
      <c r="A3" s="2" t="inlineStr">
        <is>
          <t>SECTION A: Risk Classification (YOUR ANALYSIS)</t>
        </is>
      </c>
      <c r="B3" s="2" t="n"/>
      <c r="C3" s="2" t="n"/>
      <c r="D3" s="2" t="n"/>
      <c r="E3" s="2" t="n"/>
      <c r="F3" s="2" t="n"/>
    </row>
    <row r="4">
      <c r="A4" s="3" t="inlineStr">
        <is>
          <t>Step</t>
        </is>
      </c>
      <c r="B4" s="3" t="inlineStr">
        <is>
          <t>Question</t>
        </is>
      </c>
      <c r="C4" s="3" t="inlineStr">
        <is>
          <t>Your Answer</t>
        </is>
      </c>
      <c r="D4" s="3" t="inlineStr">
        <is>
          <t>Evidence / Justification</t>
        </is>
      </c>
      <c r="E4" s="3" t="inlineStr">
        <is>
          <t>Article Reference</t>
        </is>
      </c>
      <c r="F4" s="3" t="inlineStr">
        <is>
          <t>Result</t>
        </is>
      </c>
    </row>
    <row r="5">
      <c r="A5" s="4" t="inlineStr">
        <is>
          <t>1</t>
        </is>
      </c>
      <c r="B5" s="4" t="inlineStr">
        <is>
          <t>Does the system engage in any prohibited practices under Article 5?</t>
        </is>
      </c>
      <c r="C5" s="5" t="inlineStr">
        <is>
          <t>No</t>
        </is>
      </c>
      <c r="D5" s="5" t="inlineStr">
        <is>
          <t>None of the four prohibited categories apply. Social scoring: the system supports clinical diagnosis for physicians, it does not score citizens for public authorities. Exploiting vulnerabilities: restricted to licensed clinicians, not patient-facing, no targeting of vulnerable groups. Real-time remote biometric identification: processes de-identified EHR text only, no biometric data. Subliminal manipulation: suggestions are transparent, ranked with confidence scores, and require active physician review.</t>
        </is>
      </c>
      <c r="E5" s="5" t="inlineStr">
        <is>
          <t>Article 5</t>
        </is>
      </c>
      <c r="F5" s="5" t="inlineStr">
        <is>
          <t>Not Prohibited</t>
        </is>
      </c>
    </row>
    <row r="6">
      <c r="A6" s="4" t="inlineStr">
        <is>
          <t>2</t>
        </is>
      </c>
      <c r="B6" s="4" t="inlineStr">
        <is>
          <t>Is the system a safety component under EU harmonisation legislation (Annex I)?</t>
        </is>
      </c>
      <c r="C6" s="5" t="inlineStr">
        <is>
          <t>Yes</t>
        </is>
      </c>
      <c r="D6" s="5" t="inlineStr">
        <is>
          <t>ClinicalCompanion is software intended to provide information used for diagnostic purposes, so it is a medical device under MDR 2017/745 (Annex I harmonisation legislation). Under MDR Rule 11 it is Class IIa, which requires a Notified Body conformity assessment and CE marking (application submitted, awaiting Notified Body).</t>
        </is>
      </c>
      <c r="E6" s="5" t="inlineStr">
        <is>
          <t>Article 6(1), Annex I</t>
        </is>
      </c>
      <c r="F6" s="5" t="inlineStr">
        <is>
          <t>Falls under</t>
        </is>
      </c>
    </row>
    <row r="7">
      <c r="A7" s="4" t="inlineStr">
        <is>
          <t>3</t>
        </is>
      </c>
      <c r="B7" s="4" t="inlineStr">
        <is>
          <t>Does the system fall under any Annex III high-risk category?</t>
        </is>
      </c>
      <c r="C7" s="5" t="inlineStr">
        <is>
          <t>No</t>
        </is>
      </c>
      <c r="D7" s="5" t="inlineStr">
        <is>
          <t>Clinical decision support is not one of the eight Annex III categories (biometric ID, critical infrastructure, education, employment, essential services, law enforcement, migration, justice). The high-risk classification is instead driven by Article 6(1) via the MDR route.</t>
        </is>
      </c>
      <c r="E7" s="5" t="inlineStr">
        <is>
          <t>Annex III</t>
        </is>
      </c>
      <c r="F7" s="5" t="inlineStr">
        <is>
          <t>Not listed</t>
        </is>
      </c>
    </row>
    <row r="8">
      <c r="A8" s="4" t="inlineStr">
        <is>
          <t>4</t>
        </is>
      </c>
      <c r="B8" s="4" t="inlineStr">
        <is>
          <t>FINAL CLASSIFICATION</t>
        </is>
      </c>
      <c r="C8" s="5" t="inlineStr">
        <is>
          <t>HIGH-RISK</t>
        </is>
      </c>
      <c r="D8" s="5" t="inlineStr">
        <is>
          <t>High-risk AI system under Article 6(1): the system is a product (medical device, MDR 2017/745 Class IIa) covered by Annex I harmonisation legislation and subject to third-party conformity assessment. All obligations under Articles 8-15 apply in full, regardless of the physician-in-the-loop design.</t>
        </is>
      </c>
      <c r="E8" s="5" t="inlineStr">
        <is>
          <t>Art 6(1) + Annex I (MDR 2017/745)</t>
        </is>
      </c>
      <c r="F8" s="5" t="inlineStr">
        <is>
          <t>HIGH-RISK AI SYSTEM</t>
        </is>
      </c>
    </row>
    <row r="11">
      <c r="A11" s="2" t="inlineStr">
        <is>
          <t>SECTION B: Compliance Gap Analysis (Articles 8-15)</t>
        </is>
      </c>
      <c r="B11" s="2" t="n"/>
      <c r="C11" s="2" t="n"/>
      <c r="D11" s="2" t="n"/>
      <c r="E11" s="2" t="n"/>
      <c r="F11" s="2" t="n"/>
    </row>
    <row r="12">
      <c r="A12" s="3" t="inlineStr">
        <is>
          <t>Article</t>
        </is>
      </c>
      <c r="B12" s="3" t="inlineStr">
        <is>
          <t>Requirement</t>
        </is>
      </c>
      <c r="C12" s="3" t="inlineStr">
        <is>
          <t>Description</t>
        </is>
      </c>
      <c r="D12" s="3" t="inlineStr">
        <is>
          <t>Your Status Assessment</t>
        </is>
      </c>
      <c r="E12" s="3" t="inlineStr">
        <is>
          <t>Your Severity Rating</t>
        </is>
      </c>
      <c r="F12" s="3" t="inlineStr">
        <is>
          <t>Your Remediation Plan</t>
        </is>
      </c>
    </row>
    <row r="13">
      <c r="A13" s="4" t="inlineStr">
        <is>
          <t>Article 9</t>
        </is>
      </c>
      <c r="B13" s="4" t="inlineStr">
        <is>
          <t>Risk Management System</t>
        </is>
      </c>
      <c r="C13" s="4" t="inlineStr">
        <is>
          <t>Establish and maintain risk management system throughout AI lifecycle</t>
        </is>
      </c>
      <c r="D13" s="5" t="inlineStr">
        <is>
          <t>PARTIAL — Risk assessment initiated; needs formalization into continuous process</t>
        </is>
      </c>
      <c r="E13" s="5" t="inlineStr">
        <is>
          <t>High</t>
        </is>
      </c>
      <c r="F13" s="5" t="inlineStr">
        <is>
          <t>Formalize risk management as ongoing process; integrate into product lifecycle. Target: Month 1, Owner: AI Governance Analyst.</t>
        </is>
      </c>
    </row>
    <row r="14">
      <c r="A14" s="4" t="inlineStr">
        <is>
          <t>Article 9</t>
        </is>
      </c>
      <c r="B14" s="4" t="inlineStr">
        <is>
          <t>Risk Identification</t>
        </is>
      </c>
      <c r="C14" s="4" t="inlineStr">
        <is>
          <t>Identify and analyze known and reasonably foreseeable risks</t>
        </is>
      </c>
      <c r="D14" s="5" t="inlineStr">
        <is>
          <t>PARTIAL (in progress) — Risk register being developed (this project)</t>
        </is>
      </c>
      <c r="E14" s="5" t="inlineStr">
        <is>
          <t>Medium</t>
        </is>
      </c>
      <c r="F14" s="5" t="inlineStr">
        <is>
          <t>Complete risk register with all identified risks and mitigations. Target: Month 1, Owner: AI Governance Analyst.</t>
        </is>
      </c>
    </row>
    <row r="15">
      <c r="A15" s="4" t="inlineStr">
        <is>
          <t>Article 9</t>
        </is>
      </c>
      <c r="B15" s="4" t="inlineStr">
        <is>
          <t>Residual Risk Evaluation</t>
        </is>
      </c>
      <c r="C15" s="4" t="inlineStr">
        <is>
          <t>Residual risk after mitigation must be judged acceptable</t>
        </is>
      </c>
      <c r="D15" s="5" t="inlineStr">
        <is>
          <t>NON-COMPLIANT (not started) — Residual risk evaluation pending completion of mitigation plans</t>
        </is>
      </c>
      <c r="E15" s="5" t="inlineStr">
        <is>
          <t>High</t>
        </is>
      </c>
      <c r="F15" s="5" t="inlineStr">
        <is>
          <t>Evaluate residual risk levels after mitigation implementation. Target: Month 2, Owner: Head of Compliance.</t>
        </is>
      </c>
    </row>
    <row r="16">
      <c r="A16" s="4" t="inlineStr">
        <is>
          <t>Article 10</t>
        </is>
      </c>
      <c r="B16" s="4" t="inlineStr">
        <is>
          <t>Data Governance</t>
        </is>
      </c>
      <c r="C16" s="4" t="inlineStr">
        <is>
          <t>Training/validation/testing datasets subject to appropriate governance</t>
        </is>
      </c>
      <c r="D16" s="5" t="inlineStr">
        <is>
          <t>PARTIAL — Framework exists for internal data; third-party training data governance unclear</t>
        </is>
      </c>
      <c r="E16" s="5" t="inlineStr">
        <is>
          <t>High</t>
        </is>
      </c>
      <c r="F16" s="5" t="inlineStr">
        <is>
          <t>Negotiate training data documentation from FoundationHealth for Art. 10 compliance. Target: Month 2, Owner: Data Protection Officer.</t>
        </is>
      </c>
    </row>
    <row r="17">
      <c r="A17" s="4" t="inlineStr">
        <is>
          <t>Article 10</t>
        </is>
      </c>
      <c r="B17" s="4" t="inlineStr">
        <is>
          <t>Dataset Representativeness</t>
        </is>
      </c>
      <c r="C17" s="4" t="inlineStr">
        <is>
          <t>Datasets relevant, sufficiently representative, free of errors</t>
        </is>
      </c>
      <c r="D17" s="5" t="inlineStr">
        <is>
          <t>PARTIAL — Underrepresentation: Eastern Europe, Sub-Saharan Africa, SE Asia; limited rare disease coverage</t>
        </is>
      </c>
      <c r="E17" s="5" t="inlineStr">
        <is>
          <t>High</t>
        </is>
      </c>
      <c r="F17" s="5" t="inlineStr">
        <is>
          <t>Data augmentation and bias mitigation strategy for underrepresented populations. Target: Month 3, Owner: Chief Medical Officer.</t>
        </is>
      </c>
    </row>
    <row r="18">
      <c r="A18" s="4" t="inlineStr">
        <is>
          <t>Article 10</t>
        </is>
      </c>
      <c r="B18" s="4" t="inlineStr">
        <is>
          <t>Special Category Data</t>
        </is>
      </c>
      <c r="C18" s="4" t="inlineStr">
        <is>
          <t>Appropriate safeguards for health data processing</t>
        </is>
      </c>
      <c r="D18" s="5" t="inlineStr">
        <is>
          <t>PARTIAL (in progress) — De-identification pipeline in place; DPIA v1 complete but needs update for foundation model flows</t>
        </is>
      </c>
      <c r="E18" s="5" t="inlineStr">
        <is>
          <t>Medium</t>
        </is>
      </c>
      <c r="F18" s="5" t="inlineStr">
        <is>
          <t>Update DPIA to cover foundation model data flows and cross-border transfers. Target: Month 2, Owner: Data Protection Officer.</t>
        </is>
      </c>
    </row>
    <row r="19">
      <c r="A19" s="4" t="inlineStr">
        <is>
          <t>Article 11</t>
        </is>
      </c>
      <c r="B19" s="4" t="inlineStr">
        <is>
          <t>Technical Documentation</t>
        </is>
      </c>
      <c r="C19" s="4" t="inlineStr">
        <is>
          <t>Draw up technical documentation before market placement</t>
        </is>
      </c>
      <c r="D19" s="5" t="inlineStr">
        <is>
          <t>PARTIAL (in progress) — System spec exists; governance assessment contributes; gaps in monitoring and conformity evidence</t>
        </is>
      </c>
      <c r="E19" s="5" t="inlineStr">
        <is>
          <t>Medium</t>
        </is>
      </c>
      <c r="F19" s="5" t="inlineStr">
        <is>
          <t>Complete full technical documentation package per Annex IV requirements. Target: Month 2, Owner: VP Engineering.</t>
        </is>
      </c>
    </row>
    <row r="20">
      <c r="A20" s="4" t="inlineStr">
        <is>
          <t>Article 12</t>
        </is>
      </c>
      <c r="B20" s="4" t="inlineStr">
        <is>
          <t>Record-Keeping</t>
        </is>
      </c>
      <c r="C20" s="4" t="inlineStr">
        <is>
          <t>Automatic recording of events (logs) throughout system lifetime</t>
        </is>
      </c>
      <c r="D20" s="5" t="inlineStr">
        <is>
          <t>PARTIAL — API call logging exists; need comprehensive audit trail for all clinical suggestions</t>
        </is>
      </c>
      <c r="E20" s="5" t="inlineStr">
        <is>
          <t>Medium</t>
        </is>
      </c>
      <c r="F20" s="5" t="inlineStr">
        <is>
          <t>Implement comprehensive audit logging with input-output-reasoning chain capture. Target: Month 2, Owner: VP Engineering.</t>
        </is>
      </c>
    </row>
    <row r="21">
      <c r="A21" s="4" t="inlineStr">
        <is>
          <t>Article 12</t>
        </is>
      </c>
      <c r="B21" s="4" t="inlineStr">
        <is>
          <t>Log Retention</t>
        </is>
      </c>
      <c r="C21" s="4" t="inlineStr">
        <is>
          <t>Logs retained for appropriate period</t>
        </is>
      </c>
      <c r="D21" s="5" t="inlineStr">
        <is>
          <t>NON-COMPLIANT (planned) — Retention policy not yet defined</t>
        </is>
      </c>
      <c r="E21" s="5" t="inlineStr">
        <is>
          <t>Medium</t>
        </is>
      </c>
      <c r="F21" s="5" t="inlineStr">
        <is>
          <t>Define retention policy (minimum: 10 years per MDR Class IIa requirements). Target: Month 2, Owner: Head of Compliance.</t>
        </is>
      </c>
    </row>
    <row r="22">
      <c r="A22" s="4" t="inlineStr">
        <is>
          <t>Article 13</t>
        </is>
      </c>
      <c r="B22" s="4" t="inlineStr">
        <is>
          <t>Transparency</t>
        </is>
      </c>
      <c r="C22" s="4" t="inlineStr">
        <is>
          <t>Design to allow deployers to interpret output appropriately</t>
        </is>
      </c>
      <c r="D22" s="5" t="inlineStr">
        <is>
          <t>PARTIAL — Confidence scores provided; explanation of reasoning needs enhancement</t>
        </is>
      </c>
      <c r="E22" s="5" t="inlineStr">
        <is>
          <t>Medium</t>
        </is>
      </c>
      <c r="F22" s="5" t="inlineStr">
        <is>
          <t>Enhance output explanations; develop deployer-facing documentation. Target: Month 2, Owner: Product Manager.</t>
        </is>
      </c>
    </row>
    <row r="23">
      <c r="A23" s="4" t="inlineStr">
        <is>
          <t>Article 13</t>
        </is>
      </c>
      <c r="B23" s="4" t="inlineStr">
        <is>
          <t>Instructions for Use</t>
        </is>
      </c>
      <c r="C23" s="4" t="inlineStr">
        <is>
          <t>Provide instructions for use to deployers</t>
        </is>
      </c>
      <c r="D23" s="5" t="inlineStr">
        <is>
          <t>PARTIAL (in progress) — Model Card being developed (this project)</t>
        </is>
      </c>
      <c r="E23" s="5" t="inlineStr">
        <is>
          <t>Medium</t>
        </is>
      </c>
      <c r="F23" s="5" t="inlineStr">
        <is>
          <t>Complete Model Card and deployer training materials. Target: Month 2, Owner: AI Governance Analyst.</t>
        </is>
      </c>
    </row>
    <row r="24">
      <c r="A24" s="4" t="inlineStr">
        <is>
          <t>Article 14</t>
        </is>
      </c>
      <c r="B24" s="4" t="inlineStr">
        <is>
          <t>Human Oversight</t>
        </is>
      </c>
      <c r="C24" s="4" t="inlineStr">
        <is>
          <t>Design to allow effective human oversight during use</t>
        </is>
      </c>
      <c r="D24" s="5" t="inlineStr">
        <is>
          <t>COMPLIANT — Physician-in-the-loop: all suggestions require physician review and approval</t>
        </is>
      </c>
      <c r="E24" s="5" t="inlineStr">
        <is>
          <t>Low</t>
        </is>
      </c>
      <c r="F24" s="5" t="inlineStr">
        <is>
          <t>Maintain current design; finalize physician training materials. Target: Month 1, Owner: Chief Medical Officer.</t>
        </is>
      </c>
    </row>
    <row r="25">
      <c r="A25" s="4" t="inlineStr">
        <is>
          <t>Article 14</t>
        </is>
      </c>
      <c r="B25" s="4" t="inlineStr">
        <is>
          <t>Override Capability</t>
        </is>
      </c>
      <c r="C25" s="4" t="inlineStr">
        <is>
          <t>Enable deployer to override or reverse AI output</t>
        </is>
      </c>
      <c r="D25" s="5" t="inlineStr">
        <is>
          <t>COMPLIANT — Physicians can dismiss any suggestion; system does not auto-execute</t>
        </is>
      </c>
      <c r="E25" s="5" t="inlineStr">
        <is>
          <t>Low</t>
        </is>
      </c>
      <c r="F25" s="5" t="inlineStr">
        <is>
          <t>No action needed — maintain current functionality. Target: nan, Owner: VP Engineering.</t>
        </is>
      </c>
    </row>
    <row r="26">
      <c r="A26" s="4" t="inlineStr">
        <is>
          <t>Article 15</t>
        </is>
      </c>
      <c r="B26" s="4" t="inlineStr">
        <is>
          <t>Accuracy</t>
        </is>
      </c>
      <c r="C26" s="4" t="inlineStr">
        <is>
          <t>Achieve appropriate level of accuracy for intended purpose</t>
        </is>
      </c>
      <c r="D26" s="5" t="inlineStr">
        <is>
          <t>PARTIAL — 91.7% Top-3 accuracy is strong; 3.4% hallucination rate exceeds 2% target</t>
        </is>
      </c>
      <c r="E26" s="5" t="inlineStr">
        <is>
          <t>Critical</t>
        </is>
      </c>
      <c r="F26" s="5" t="inlineStr">
        <is>
          <t>Reduce hallucination rate below 2% target; implement output verification layer. Target: Month 1, Owner: VP Engineering.</t>
        </is>
      </c>
    </row>
    <row r="27">
      <c r="A27" s="4" t="inlineStr">
        <is>
          <t>Article 15</t>
        </is>
      </c>
      <c r="B27" s="4" t="inlineStr">
        <is>
          <t>Robustness</t>
        </is>
      </c>
      <c r="C27" s="4" t="inlineStr">
        <is>
          <t>Resilient to errors, faults, inconsistencies; adversarial resilience</t>
        </is>
      </c>
      <c r="D27" s="5" t="inlineStr">
        <is>
          <t>PARTIAL — Input validation exists; adversarial robustness testing not performed</t>
        </is>
      </c>
      <c r="E27" s="5" t="inlineStr">
        <is>
          <t>High</t>
        </is>
      </c>
      <c r="F27" s="5" t="inlineStr">
        <is>
          <t>Schedule red-team testing and adversarial robustness assessment. Target: Month 2, Owner: VP Engineering.</t>
        </is>
      </c>
    </row>
    <row r="28">
      <c r="A28" s="4" t="inlineStr">
        <is>
          <t>Article 15</t>
        </is>
      </c>
      <c r="B28" s="4" t="inlineStr">
        <is>
          <t>Cybersecurity</t>
        </is>
      </c>
      <c r="C28" s="4" t="inlineStr">
        <is>
          <t>Cybersecurity measures appropriate to risk level</t>
        </is>
      </c>
      <c r="D28" s="5" t="inlineStr">
        <is>
          <t>PARTIAL (in progress) — TLS 1.3 + AES-256 in place; formal cybersecurity assessment per ENISA not done</t>
        </is>
      </c>
      <c r="E28" s="5" t="inlineStr">
        <is>
          <t>Medium</t>
        </is>
      </c>
      <c r="F28" s="5" t="inlineStr">
        <is>
          <t>Complete formal cybersecurity assessment per ENISA AI security guidelines. Target: Month 2, Owner: VP Engineering.</t>
        </is>
      </c>
    </row>
    <row r="31">
      <c r="A31" s="2" t="inlineStr">
        <is>
          <t>SECTION C: Your Classification Summary</t>
        </is>
      </c>
      <c r="B31" s="2" t="n"/>
      <c r="C31" s="2" t="n"/>
      <c r="D31" s="2" t="n"/>
      <c r="E31" s="2" t="n"/>
      <c r="F31" s="2" t="n"/>
    </row>
    <row r="32">
      <c r="A32" s="6" t="inlineStr">
        <is>
          <t>Overall Risk Level:</t>
        </is>
      </c>
      <c r="B32" s="5" t="inlineStr">
        <is>
          <t>HIGH-RISK AI system under Article 6(1) (medical device route, MDR Class IIa). Compliance posture across Articles 8-15: 2 compliant, 14 open gaps (1 Critical, 5 High, 8 Medium, 2 Low); overall governance readiness estimated at 62.5%.</t>
        </is>
      </c>
      <c r="C32" s="7" t="n"/>
      <c r="D32" s="7" t="n"/>
      <c r="E32" s="7" t="n"/>
      <c r="F32" s="8" t="n"/>
    </row>
    <row r="33">
      <c r="A33" s="6" t="inlineStr">
        <is>
          <t>Number of Critical/High Gaps:</t>
        </is>
      </c>
      <c r="B33" s="5" t="inlineStr">
        <is>
          <t>6 — 1 Critical (Article 15 Accuracy: hallucination rate 3.4% vs &lt;2% target) and 5 High (Art 9 Risk Management System, Art 9 Residual Risk Evaluation, Art 10 Data Governance, Art 10 Dataset Representativeness, Art 15 Robustness).</t>
        </is>
      </c>
      <c r="C33" s="7" t="n"/>
      <c r="D33" s="7" t="n"/>
      <c r="E33" s="7" t="n"/>
      <c r="F33" s="8" t="n"/>
    </row>
    <row r="34">
      <c r="A34" s="6" t="inlineStr">
        <is>
          <t>Timeline to Compliance:</t>
        </is>
      </c>
      <c r="B34" s="5" t="inlineStr">
        <is>
          <t>Approximately 3 months to close all Critical/High gaps, driven by (1) the Notified Body conformity assessment lead time, (2) the Month-1 hallucination remediation (output verification layer), and (3) Month-3 training data augmentation for underrepresented populations under Article 10.</t>
        </is>
      </c>
      <c r="C34" s="7" t="n"/>
      <c r="D34" s="7" t="n"/>
      <c r="E34" s="7" t="n"/>
      <c r="F34" s="8" t="n"/>
    </row>
    <row r="35">
      <c r="A35" s="6" t="inlineStr">
        <is>
          <t>Key Recommendation for the Board:</t>
        </is>
      </c>
      <c r="B35" s="5" t="inlineStr">
        <is>
          <t>Do not launch until the Article 15 accuracy gap is closed (hallucination rate below 2%, currently 3.4%) and the Notified Body conformity assessment is complete. Authorize only the Phase-1 pilot (3 German hospitals, 50 users) once Month-1 remediations are verified; EU-wide availability should remain gated on full Articles 8-15 compliance.</t>
        </is>
      </c>
      <c r="C35" s="7" t="n"/>
      <c r="D35" s="7" t="n"/>
      <c r="E35" s="7" t="n"/>
      <c r="F35" s="8" t="n"/>
    </row>
  </sheetData>
  <mergeCells count="5">
    <mergeCell ref="B34:F34"/>
    <mergeCell ref="B33:F33"/>
    <mergeCell ref="A1:F1"/>
    <mergeCell ref="B32:F32"/>
    <mergeCell ref="B35:F35"/>
  </mergeCells>
  <pageMargins left="0.75" right="0.75" top="1" bottom="1" header="0.5" footer="0.5"/>
</worksheet>
</file>

<file path=xl/worksheets/sheet2.xml><?xml version="1.0" encoding="utf-8"?>
<worksheet xmlns="http://schemas.openxmlformats.org/spreadsheetml/2006/main">
  <sheetPr>
    <tabColor rgb="00E67E22"/>
    <outlinePr summaryBelow="1" summaryRight="1"/>
    <pageSetUpPr/>
  </sheetPr>
  <dimension ref="A1:N21"/>
  <sheetViews>
    <sheetView workbookViewId="0">
      <selection activeCell="A1" sqref="A1"/>
    </sheetView>
  </sheetViews>
  <sheetFormatPr baseColWidth="8" defaultRowHeight="15"/>
  <cols>
    <col width="12" customWidth="1" min="1" max="1"/>
    <col width="18" customWidth="1" min="2" max="2"/>
    <col width="16" customWidth="1" min="3" max="3"/>
    <col width="55" customWidth="1" min="4" max="4"/>
    <col width="20" customWidth="1" min="5" max="5"/>
    <col width="13" customWidth="1" min="6" max="6"/>
    <col width="13" customWidth="1" min="7" max="7"/>
    <col width="13" customWidth="1" min="8" max="8"/>
    <col width="13" customWidth="1" min="9" max="9"/>
    <col width="50" customWidth="1" min="10" max="10"/>
    <col width="14" customWidth="1" min="11" max="11"/>
    <col width="13" customWidth="1" min="12" max="12"/>
    <col width="13" customWidth="1" min="13" max="13"/>
    <col width="13" customWidth="1" min="14" max="14"/>
  </cols>
  <sheetData>
    <row r="1">
      <c r="A1" s="9" t="inlineStr">
        <is>
          <t>RISK REGISTER — ClinicalCompanion v1.0 (NIST AI RMF)</t>
        </is>
      </c>
    </row>
    <row r="3">
      <c r="A3" s="10" t="inlineStr">
        <is>
          <t>Risk ID</t>
        </is>
      </c>
      <c r="B3" s="10" t="inlineStr">
        <is>
          <t>Risk Category</t>
        </is>
      </c>
      <c r="C3" s="10" t="inlineStr">
        <is>
          <t>NIST RMF
Function</t>
        </is>
      </c>
      <c r="D3" s="10" t="inlineStr">
        <is>
          <t>Risk Description</t>
        </is>
      </c>
      <c r="E3" s="10" t="inlineStr">
        <is>
          <t>Risk Owner</t>
        </is>
      </c>
      <c r="F3" s="10" t="inlineStr">
        <is>
          <t>Likelihood
(1-5)</t>
        </is>
      </c>
      <c r="G3" s="10" t="inlineStr">
        <is>
          <t>Impact
(1-5)</t>
        </is>
      </c>
      <c r="H3" s="10" t="inlineStr">
        <is>
          <t>Risk Score
(L×I)</t>
        </is>
      </c>
      <c r="I3" s="10" t="inlineStr">
        <is>
          <t>Priority</t>
        </is>
      </c>
      <c r="J3" s="10" t="inlineStr">
        <is>
          <t>Your Mitigation Strategy</t>
        </is>
      </c>
      <c r="K3" s="10" t="inlineStr">
        <is>
          <t>Mitigation
Status</t>
        </is>
      </c>
      <c r="L3" s="10" t="inlineStr">
        <is>
          <t>Your Residual
Likelihood</t>
        </is>
      </c>
      <c r="M3" s="10" t="inlineStr">
        <is>
          <t>Your Residual
Impact</t>
        </is>
      </c>
      <c r="N3" s="10" t="inlineStr">
        <is>
          <t>Residual
Score</t>
        </is>
      </c>
    </row>
    <row r="4">
      <c r="A4" s="4" t="inlineStr">
        <is>
          <t>R-001</t>
        </is>
      </c>
      <c r="B4" s="4" t="inlineStr">
        <is>
          <t>Technical</t>
        </is>
      </c>
      <c r="C4" s="4" t="inlineStr">
        <is>
          <t>Measure</t>
        </is>
      </c>
      <c r="D4" s="4" t="inlineStr">
        <is>
          <t>Clinical hallucinations: Model generates plausible but fabricated medical references or diagnostic suggestions not supported by evidence (current rate: 3.4%)</t>
        </is>
      </c>
      <c r="E4" s="4" t="inlineStr">
        <is>
          <t>VP Engineering</t>
        </is>
      </c>
      <c r="F4" s="4" t="n">
        <v>4</v>
      </c>
      <c r="G4" s="4" t="n">
        <v>5</v>
      </c>
      <c r="H4" s="4" t="n">
        <v>20</v>
      </c>
      <c r="I4" s="5" t="inlineStr">
        <is>
          <t>Critical</t>
        </is>
      </c>
      <c r="J4" s="5" t="inlineStr">
        <is>
          <t>Implement output verification layer cross-referencing curated medical KB; add confidence thresholds; establish physician feedback loop for hallucination reporting</t>
        </is>
      </c>
      <c r="K4" s="5" t="inlineStr">
        <is>
          <t>In Progress</t>
        </is>
      </c>
      <c r="L4" s="5" t="n">
        <v>2</v>
      </c>
      <c r="M4" s="5" t="n">
        <v>5</v>
      </c>
      <c r="N4" s="11">
        <f>IF(AND(L4&lt;&gt;"",M4&lt;&gt;""),L4*M4,"")</f>
        <v/>
      </c>
    </row>
    <row r="5">
      <c r="A5" s="4" t="inlineStr">
        <is>
          <t>R-002</t>
        </is>
      </c>
      <c r="B5" s="4" t="inlineStr">
        <is>
          <t>Ethical / Bias</t>
        </is>
      </c>
      <c r="C5" s="4" t="inlineStr">
        <is>
          <t>Map</t>
        </is>
      </c>
      <c r="D5" s="4" t="inlineStr">
        <is>
          <t>Demographic bias: Training data underrepresents Eastern European, Sub-Saharan African, and Southeast Asian populations, leading to potential diagnostic disparities</t>
        </is>
      </c>
      <c r="E5" s="4" t="inlineStr">
        <is>
          <t>Chief Medical Officer</t>
        </is>
      </c>
      <c r="F5" s="4" t="n">
        <v>4</v>
      </c>
      <c r="G5" s="4" t="n">
        <v>4</v>
      </c>
      <c r="H5" s="4" t="n">
        <v>16</v>
      </c>
      <c r="I5" s="5" t="inlineStr">
        <is>
          <t>High</t>
        </is>
      </c>
      <c r="J5" s="5" t="inlineStr">
        <is>
          <t>Stratified performance audits across demographics; augment training data; implement bias monitoring dashboards; establish fairness thresholds per EU AI Act Art. 10</t>
        </is>
      </c>
      <c r="K5" s="5" t="inlineStr">
        <is>
          <t>Planned</t>
        </is>
      </c>
      <c r="L5" s="5" t="n">
        <v>2</v>
      </c>
      <c r="M5" s="5" t="n">
        <v>4</v>
      </c>
      <c r="N5" s="11">
        <f>IF(AND(L5&lt;&gt;"",M5&lt;&gt;""),L5*M5,"")</f>
        <v/>
      </c>
    </row>
    <row r="6">
      <c r="A6" s="4" t="inlineStr">
        <is>
          <t>R-003</t>
        </is>
      </c>
      <c r="B6" s="4" t="inlineStr">
        <is>
          <t>Legal / Regulatory</t>
        </is>
      </c>
      <c r="C6" s="4" t="inlineStr">
        <is>
          <t>Govern</t>
        </is>
      </c>
      <c r="D6" s="4" t="inlineStr">
        <is>
          <t>EU AI Act non-compliance: Failure to complete conformity assessment before market entry could result in penalties up to 3% of global turnover and deployment prohibition</t>
        </is>
      </c>
      <c r="E6" s="4" t="inlineStr">
        <is>
          <t>Head of Compliance</t>
        </is>
      </c>
      <c r="F6" s="4" t="n">
        <v>3</v>
      </c>
      <c r="G6" s="4" t="n">
        <v>5</v>
      </c>
      <c r="H6" s="4" t="n">
        <v>15</v>
      </c>
      <c r="I6" s="5" t="inlineStr">
        <is>
          <t>High</t>
        </is>
      </c>
      <c r="J6" s="5" t="inlineStr">
        <is>
          <t>Engage Notified Body for conformity assessment; complete technical documentation per Art. 11-12; track regulatory deadlines</t>
        </is>
      </c>
      <c r="K6" s="5" t="inlineStr">
        <is>
          <t>In Progress</t>
        </is>
      </c>
      <c r="L6" s="5" t="n">
        <v>1</v>
      </c>
      <c r="M6" s="5" t="n">
        <v>5</v>
      </c>
      <c r="N6" s="11">
        <f>IF(AND(L6&lt;&gt;"",M6&lt;&gt;""),L6*M6,"")</f>
        <v/>
      </c>
    </row>
    <row r="7">
      <c r="A7" s="4" t="inlineStr">
        <is>
          <t>R-004</t>
        </is>
      </c>
      <c r="B7" s="4" t="inlineStr">
        <is>
          <t>Privacy / Security</t>
        </is>
      </c>
      <c r="C7" s="4" t="inlineStr">
        <is>
          <t>Manage</t>
        </is>
      </c>
      <c r="D7" s="4" t="inlineStr">
        <is>
          <t>Patient data re-identification: Residual re-identification risk through quasi-identifier combinations or model memorization of training data patterns despite de-identification pipeline</t>
        </is>
      </c>
      <c r="E7" s="4" t="inlineStr">
        <is>
          <t>Data Protection Officer</t>
        </is>
      </c>
      <c r="F7" s="4" t="n">
        <v>3</v>
      </c>
      <c r="G7" s="4" t="n">
        <v>5</v>
      </c>
      <c r="H7" s="4" t="n">
        <v>15</v>
      </c>
      <c r="I7" s="5" t="inlineStr">
        <is>
          <t>High</t>
        </is>
      </c>
      <c r="J7" s="5" t="inlineStr">
        <is>
          <t>Quarterly re-identification risk assessments; differential privacy for fine-tuning; enhanced de-identification for edge cases; membership inference testing</t>
        </is>
      </c>
      <c r="K7" s="5" t="inlineStr">
        <is>
          <t>In Progress</t>
        </is>
      </c>
      <c r="L7" s="5" t="n">
        <v>2</v>
      </c>
      <c r="M7" s="5" t="n">
        <v>5</v>
      </c>
      <c r="N7" s="11">
        <f>IF(AND(L7&lt;&gt;"",M7&lt;&gt;""),L7*M7,"")</f>
        <v/>
      </c>
    </row>
    <row r="8">
      <c r="A8" s="4" t="inlineStr">
        <is>
          <t>R-005</t>
        </is>
      </c>
      <c r="B8" s="4" t="inlineStr">
        <is>
          <t>Operational</t>
        </is>
      </c>
      <c r="C8" s="4" t="inlineStr">
        <is>
          <t>Manage</t>
        </is>
      </c>
      <c r="D8" s="4" t="inlineStr">
        <is>
          <t>Foundation model vendor dependency: FoundationHealth Inc. controls model weights, update cadence, and API availability. Unilateral updates could alter clinical performance; discontinuation would halt operations</t>
        </is>
      </c>
      <c r="E8" s="4" t="inlineStr">
        <is>
          <t>VP Engineering</t>
        </is>
      </c>
      <c r="F8" s="4" t="n">
        <v>3</v>
      </c>
      <c r="G8" s="4" t="n">
        <v>4</v>
      </c>
      <c r="H8" s="4" t="n">
        <v>12</v>
      </c>
      <c r="I8" s="5" t="inlineStr">
        <is>
          <t>Medium</t>
        </is>
      </c>
      <c r="J8" s="5" t="inlineStr">
        <is>
          <t>Contractual protections (versioning, rollback, 90-day notice); fallback model strategy; regression testing for vendor updates; explore model distillation</t>
        </is>
      </c>
      <c r="K8" s="5" t="inlineStr">
        <is>
          <t>Planned</t>
        </is>
      </c>
      <c r="L8" s="5" t="n">
        <v>2</v>
      </c>
      <c r="M8" s="5" t="n">
        <v>4</v>
      </c>
      <c r="N8" s="11">
        <f>IF(AND(L8&lt;&gt;"",M8&lt;&gt;""),L8*M8,"")</f>
        <v/>
      </c>
    </row>
    <row r="9">
      <c r="A9" s="4" t="inlineStr">
        <is>
          <t>R-006</t>
        </is>
      </c>
      <c r="B9" s="4" t="inlineStr">
        <is>
          <t>Technical</t>
        </is>
      </c>
      <c r="C9" s="4" t="inlineStr">
        <is>
          <t>Measure</t>
        </is>
      </c>
      <c r="D9" s="4" t="inlineStr">
        <is>
          <t>Model drift: Performance degradation over time due to evolving clinical practices, new diseases, or changing patient populations without adequate monitoring</t>
        </is>
      </c>
      <c r="E9" s="4" t="inlineStr">
        <is>
          <t>VP Engineering</t>
        </is>
      </c>
      <c r="F9" s="4" t="n">
        <v>3</v>
      </c>
      <c r="G9" s="4" t="n">
        <v>4</v>
      </c>
      <c r="H9" s="4" t="n">
        <v>12</v>
      </c>
      <c r="I9" s="5" t="inlineStr">
        <is>
          <t>Medium</t>
        </is>
      </c>
      <c r="J9" s="5" t="inlineStr">
        <is>
          <t>Continuous performance monitoring with automated alerts; quarterly re-validation; define performance floor thresholds triggering retraining or withdrawal</t>
        </is>
      </c>
      <c r="K9" s="5" t="inlineStr">
        <is>
          <t>Planned</t>
        </is>
      </c>
      <c r="L9" s="5" t="n">
        <v>2</v>
      </c>
      <c r="M9" s="5" t="n">
        <v>3</v>
      </c>
      <c r="N9" s="11">
        <f>IF(AND(L9&lt;&gt;"",M9&lt;&gt;""),L9*M9,"")</f>
        <v/>
      </c>
    </row>
    <row r="10">
      <c r="A10" s="4" t="inlineStr">
        <is>
          <t>R-007</t>
        </is>
      </c>
      <c r="B10" s="4" t="inlineStr">
        <is>
          <t>Ethical / Safety</t>
        </is>
      </c>
      <c r="C10" s="4" t="inlineStr">
        <is>
          <t>Map</t>
        </is>
      </c>
      <c r="D10" s="4" t="inlineStr">
        <is>
          <t>Automation bias: Physicians may over-rely on ClinicalCompanion suggestions without sufficient independent judgment, particularly under time pressure or fatigue</t>
        </is>
      </c>
      <c r="E10" s="4" t="inlineStr">
        <is>
          <t>Chief Medical Officer</t>
        </is>
      </c>
      <c r="F10" s="4" t="n">
        <v>3</v>
      </c>
      <c r="G10" s="4" t="n">
        <v>5</v>
      </c>
      <c r="H10" s="4" t="n">
        <v>15</v>
      </c>
      <c r="I10" s="5" t="inlineStr">
        <is>
          <t>High</t>
        </is>
      </c>
      <c r="J10" s="5" t="inlineStr">
        <is>
          <t>UI requires active physician confirmation; uncertainty indicators; mandatory user training; periodic physician override rate assessments</t>
        </is>
      </c>
      <c r="K10" s="5" t="inlineStr">
        <is>
          <t>In Progress</t>
        </is>
      </c>
      <c r="L10" s="5" t="n">
        <v>2</v>
      </c>
      <c r="M10" s="5" t="n">
        <v>4</v>
      </c>
      <c r="N10" s="11">
        <f>IF(AND(L10&lt;&gt;"",M10&lt;&gt;""),L10*M10,"")</f>
        <v/>
      </c>
    </row>
    <row r="11">
      <c r="A11" s="4" t="inlineStr">
        <is>
          <t>R-008</t>
        </is>
      </c>
      <c r="B11" s="4" t="inlineStr">
        <is>
          <t>Legal / Regulatory</t>
        </is>
      </c>
      <c r="C11" s="4" t="inlineStr">
        <is>
          <t>Govern</t>
        </is>
      </c>
      <c r="D11" s="4" t="inlineStr">
        <is>
          <t>Cross-border data transfer: Patient data flowing between EU infrastructure and US-based FoundationHealth API may violate GDPR Chapter V, particularly post-Schrems II</t>
        </is>
      </c>
      <c r="E11" s="4" t="inlineStr">
        <is>
          <t>Data Protection Officer</t>
        </is>
      </c>
      <c r="F11" s="4" t="n">
        <v>3</v>
      </c>
      <c r="G11" s="4" t="n">
        <v>5</v>
      </c>
      <c r="H11" s="4" t="n">
        <v>15</v>
      </c>
      <c r="I11" s="5" t="inlineStr">
        <is>
          <t>High</t>
        </is>
      </c>
      <c r="J11" s="5" t="inlineStr">
        <is>
          <t>EU-only processing where possible; Standard Contractual Clauses with FoundationHealth; Transfer Impact Assessment; explore EU-hosted model alternatives</t>
        </is>
      </c>
      <c r="K11" s="5" t="inlineStr">
        <is>
          <t>In Progress</t>
        </is>
      </c>
      <c r="L11" s="5" t="n">
        <v>2</v>
      </c>
      <c r="M11" s="5" t="n">
        <v>4</v>
      </c>
      <c r="N11" s="11">
        <f>IF(AND(L11&lt;&gt;"",M11&lt;&gt;""),L11*M11,"")</f>
        <v/>
      </c>
    </row>
    <row r="13">
      <c r="A13" s="2" t="inlineStr">
        <is>
          <t>RISK SUMMARY (auto-calculated from your entries above)</t>
        </is>
      </c>
      <c r="B13" s="2" t="n"/>
      <c r="C13" s="2" t="n"/>
      <c r="D13" s="2" t="n"/>
      <c r="E13" s="2" t="n"/>
      <c r="F13" s="2" t="n"/>
      <c r="G13" s="2" t="n"/>
      <c r="H13" s="2" t="n"/>
      <c r="I13" s="2" t="n"/>
      <c r="J13" s="2" t="n"/>
      <c r="K13" s="2" t="n"/>
      <c r="L13" s="2" t="n"/>
      <c r="M13" s="2" t="n"/>
      <c r="N13" s="2" t="n"/>
    </row>
    <row r="14">
      <c r="A14" s="6" t="inlineStr">
        <is>
          <t>Total Risks:</t>
        </is>
      </c>
      <c r="B14" s="12" t="n">
        <v>8</v>
      </c>
      <c r="D14" s="6" t="inlineStr">
        <is>
          <t>Average Risk Score:</t>
        </is>
      </c>
      <c r="E14" s="13" t="n">
        <v>15</v>
      </c>
    </row>
    <row r="15">
      <c r="A15" s="6" t="inlineStr">
        <is>
          <t>Critical (20-25):</t>
        </is>
      </c>
      <c r="B15" s="12" t="n">
        <v>1</v>
      </c>
      <c r="D15" s="6" t="inlineStr">
        <is>
          <t>Max Risk Score:</t>
        </is>
      </c>
      <c r="E15" s="12" t="n">
        <v>20</v>
      </c>
    </row>
    <row r="16">
      <c r="A16" s="6" t="inlineStr">
        <is>
          <t>High (15-19):</t>
        </is>
      </c>
      <c r="B16" s="12" t="n">
        <v>5</v>
      </c>
    </row>
    <row r="18">
      <c r="A18" s="2" t="inlineStr">
        <is>
          <t>SCORING GUIDE</t>
        </is>
      </c>
      <c r="B18" s="2" t="n"/>
      <c r="C18" s="2" t="n"/>
      <c r="D18" s="2" t="n"/>
      <c r="E18" s="2" t="n"/>
      <c r="F18" s="2" t="n"/>
      <c r="G18" s="2" t="n"/>
      <c r="H18" s="2" t="n"/>
      <c r="I18" s="2" t="n"/>
      <c r="J18" s="2" t="n"/>
      <c r="K18" s="2" t="n"/>
      <c r="L18" s="2" t="n"/>
      <c r="M18" s="2" t="n"/>
      <c r="N18" s="2" t="n"/>
    </row>
    <row r="19">
      <c r="A19" s="4" t="inlineStr">
        <is>
          <t>Likelihood</t>
        </is>
      </c>
      <c r="B19" s="4" t="inlineStr">
        <is>
          <t>1 = Rare</t>
        </is>
      </c>
      <c r="C19" s="4" t="inlineStr">
        <is>
          <t>2 = Unlikely</t>
        </is>
      </c>
      <c r="D19" s="4" t="inlineStr">
        <is>
          <t>3 = Possible</t>
        </is>
      </c>
      <c r="E19" s="4" t="inlineStr">
        <is>
          <t>4 = Likely</t>
        </is>
      </c>
      <c r="F19" s="4" t="inlineStr">
        <is>
          <t>5 = Almost Certain</t>
        </is>
      </c>
    </row>
    <row r="20">
      <c r="A20" s="4" t="inlineStr">
        <is>
          <t>Impact</t>
        </is>
      </c>
      <c r="B20" s="4" t="inlineStr">
        <is>
          <t>1 = Negligible</t>
        </is>
      </c>
      <c r="C20" s="4" t="inlineStr">
        <is>
          <t>2 = Minor</t>
        </is>
      </c>
      <c r="D20" s="4" t="inlineStr">
        <is>
          <t>3 = Moderate</t>
        </is>
      </c>
      <c r="E20" s="4" t="inlineStr">
        <is>
          <t>4 = Major</t>
        </is>
      </c>
      <c r="F20" s="4" t="inlineStr">
        <is>
          <t>5 = Catastrophic</t>
        </is>
      </c>
    </row>
    <row r="21">
      <c r="A21" s="4" t="inlineStr">
        <is>
          <t>Priority</t>
        </is>
      </c>
      <c r="B21" s="4" t="inlineStr">
        <is>
          <t>Critical: 20-25</t>
        </is>
      </c>
      <c r="C21" s="4" t="inlineStr">
        <is>
          <t>High: 15-19</t>
        </is>
      </c>
      <c r="D21" s="4" t="inlineStr">
        <is>
          <t>Medium: 10-14</t>
        </is>
      </c>
      <c r="E21" s="4" t="inlineStr">
        <is>
          <t>Low: 5-9</t>
        </is>
      </c>
      <c r="F21" s="4" t="inlineStr">
        <is>
          <t>Minimal: 1-4</t>
        </is>
      </c>
    </row>
  </sheetData>
  <mergeCells count="1">
    <mergeCell ref="A1:N1"/>
  </mergeCells>
  <pageMargins left="0.75" right="0.75" top="1" bottom="1" header="0.5" footer="0.5"/>
</worksheet>
</file>

<file path=xl/worksheets/sheet3.xml><?xml version="1.0" encoding="utf-8"?>
<worksheet xmlns="http://schemas.openxmlformats.org/spreadsheetml/2006/main">
  <sheetPr>
    <tabColor rgb="003498DB"/>
    <outlinePr summaryBelow="1" summaryRight="1"/>
    <pageSetUpPr/>
  </sheetPr>
  <dimension ref="A1:G28"/>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 width="20" customWidth="1" min="5" max="5"/>
    <col width="20" customWidth="1" min="6" max="6"/>
    <col width="35" customWidth="1" min="7" max="7"/>
  </cols>
  <sheetData>
    <row r="1">
      <c r="A1" s="14" t="inlineStr">
        <is>
          <t>THIRD-PARTY AI VENDOR EVALUATION — FoundationHealth Inc.</t>
        </is>
      </c>
    </row>
    <row r="3">
      <c r="A3" s="2" t="inlineStr">
        <is>
          <t>SECTION A: Vendor Profile (reference data)</t>
        </is>
      </c>
      <c r="B3" s="2" t="n"/>
      <c r="C3" s="2" t="n"/>
      <c r="D3" s="2" t="n"/>
      <c r="E3" s="2" t="n"/>
      <c r="F3" s="2" t="n"/>
      <c r="G3" s="2" t="n"/>
    </row>
    <row r="4">
      <c r="A4" s="6" t="inlineStr">
        <is>
          <t>Company Name:</t>
        </is>
      </c>
      <c r="B4" s="4" t="inlineStr">
        <is>
          <t>FoundationHealth Inc.</t>
        </is>
      </c>
    </row>
    <row r="5">
      <c r="A5" s="6" t="inlineStr">
        <is>
          <t>Founded:</t>
        </is>
      </c>
      <c r="B5" s="4" t="inlineStr">
        <is>
          <t>2021</t>
        </is>
      </c>
    </row>
    <row r="6">
      <c r="A6" s="6" t="inlineStr">
        <is>
          <t>Headquarters:</t>
        </is>
      </c>
      <c r="B6" s="4" t="inlineStr">
        <is>
          <t>San Francisco, CA, USA</t>
        </is>
      </c>
    </row>
    <row r="7">
      <c r="A7" s="6" t="inlineStr">
        <is>
          <t>Funding:</t>
        </is>
      </c>
      <c r="B7" s="4" t="inlineStr">
        <is>
          <t>Series C ($180M, 2024)</t>
        </is>
      </c>
    </row>
    <row r="8">
      <c r="A8" s="6" t="inlineStr">
        <is>
          <t>Employees:</t>
        </is>
      </c>
      <c r="B8" s="4" t="inlineStr">
        <is>
          <t>450</t>
        </is>
      </c>
    </row>
    <row r="9">
      <c r="A9" s="6" t="inlineStr">
        <is>
          <t>Revenue:</t>
        </is>
      </c>
      <c r="B9" s="4" t="inlineStr">
        <is>
          <t>$85M (60% YoY, not yet profitable)</t>
        </is>
      </c>
    </row>
    <row r="10">
      <c r="A10" s="6" t="inlineStr">
        <is>
          <t>Certifications:</t>
        </is>
      </c>
      <c r="B10" s="4" t="inlineStr">
        <is>
          <t>soc2_type2, iso_27001</t>
        </is>
      </c>
    </row>
    <row r="11">
      <c r="A11" s="6" t="inlineStr">
        <is>
          <t>SLA Uptime:</t>
        </is>
      </c>
      <c r="B11" s="4" t="inlineStr">
        <is>
          <t>99.9%</t>
        </is>
      </c>
    </row>
    <row r="13">
      <c r="A13" s="2" t="inlineStr">
        <is>
          <t>SECTION B: Evaluation Scorecard — enter scores from your notebook analysis</t>
        </is>
      </c>
      <c r="B13" s="2" t="n"/>
      <c r="C13" s="2" t="n"/>
      <c r="D13" s="2" t="n"/>
      <c r="E13" s="2" t="n"/>
      <c r="F13" s="2" t="n"/>
      <c r="G13" s="2" t="n"/>
    </row>
    <row r="14">
      <c r="A14" s="15" t="inlineStr">
        <is>
          <t>Category</t>
        </is>
      </c>
      <c r="B14" s="15" t="inlineStr">
        <is>
          <t>Criteria
Count</t>
        </is>
      </c>
      <c r="C14" s="15" t="inlineStr">
        <is>
          <t>Your Total
Score</t>
        </is>
      </c>
      <c r="D14" s="15" t="inlineStr">
        <is>
          <t>Max
Score</t>
        </is>
      </c>
      <c r="E14" s="15" t="inlineStr">
        <is>
          <t>Your
Score %</t>
        </is>
      </c>
      <c r="F14" s="15" t="inlineStr">
        <is>
          <t>Your Risk
Level</t>
        </is>
      </c>
      <c r="G14" s="15" t="inlineStr">
        <is>
          <t>Key Finding</t>
        </is>
      </c>
    </row>
    <row r="15">
      <c r="A15" s="4" t="inlineStr">
        <is>
          <t>Model Transparency &amp; Documentation</t>
        </is>
      </c>
      <c r="B15" s="4" t="n">
        <v>5</v>
      </c>
      <c r="C15" s="5" t="n">
        <v>15</v>
      </c>
      <c r="D15" s="4" t="n">
        <v>25</v>
      </c>
      <c r="E15" s="16">
        <f>IF(C15&lt;&gt;"",C15/D15*100,"")</f>
        <v/>
      </c>
      <c r="F15" s="5" t="inlineStr">
        <is>
          <t>Medium Risk</t>
        </is>
      </c>
      <c r="G15" s="5" t="inlineStr">
        <is>
          <t>Training data composition largely undisclosed (T-01: 2/5) — blocks the Article 10 data-governance evidence MedAssist needs for conformity assessment.</t>
        </is>
      </c>
    </row>
    <row r="16">
      <c r="A16" s="4" t="inlineStr">
        <is>
          <t>Data Privacy &amp; Security</t>
        </is>
      </c>
      <c r="B16" s="4" t="n">
        <v>6</v>
      </c>
      <c r="C16" s="5" t="n">
        <v>25</v>
      </c>
      <c r="D16" s="4" t="n">
        <v>30</v>
      </c>
      <c r="E16" s="16">
        <f>IF(C16&lt;&gt;"",C16/D16*100,"")</f>
        <v/>
      </c>
      <c r="F16" s="5" t="inlineStr">
        <is>
          <t>Low Risk</t>
        </is>
      </c>
      <c r="G16" s="5" t="inlineStr">
        <is>
          <t>Strongest category (83.3%): clean SOC 2 Type II (Deloitte 2024), HIPAA BAA, ISO 27001; gaps are the missing joint Transfer Impact Assessment and no customer-managed keys.</t>
        </is>
      </c>
    </row>
    <row r="17">
      <c r="A17" s="4" t="inlineStr">
        <is>
          <t>Model Governance &amp; Lifecycle</t>
        </is>
      </c>
      <c r="B17" s="4" t="n">
        <v>5</v>
      </c>
      <c r="C17" s="5" t="n">
        <v>15</v>
      </c>
      <c r="D17" s="4" t="n">
        <v>25</v>
      </c>
      <c r="E17" s="16">
        <f>IF(C17&lt;&gt;"",C17/D17*100,"")</f>
        <v/>
      </c>
      <c r="F17" s="5" t="inlineStr">
        <is>
          <t>Medium Risk</t>
        </is>
      </c>
      <c r="G17" s="5" t="inlineStr">
        <is>
          <t>Bias/fairness testing is the weakest criterion (G-04: 2/5) — aggregate metrics only, no EU demographic disaggregation; rollback requires a support ticket.</t>
        </is>
      </c>
    </row>
    <row r="18">
      <c r="A18" s="4" t="inlineStr">
        <is>
          <t>Contractual &amp; Business Continuity</t>
        </is>
      </c>
      <c r="B18" s="4" t="n">
        <v>6</v>
      </c>
      <c r="C18" s="5" t="n">
        <v>18</v>
      </c>
      <c r="D18" s="4" t="n">
        <v>30</v>
      </c>
      <c r="E18" s="16">
        <f>IF(C18&lt;&gt;"",C18/D18*100,"")</f>
        <v/>
      </c>
      <c r="F18" s="5" t="inlineStr">
        <is>
          <t>Medium Risk</t>
        </is>
      </c>
      <c r="G18" s="5" t="inlineStr">
        <is>
          <t>High vendor lock-in (C-03: 2/5): API-only, no model weights, no escrow; liability capped at 12 months of fees with no clinical outcome coverage.</t>
        </is>
      </c>
    </row>
    <row r="19">
      <c r="A19" s="4" t="inlineStr">
        <is>
          <t>Regulatory &amp; Ethical Alignment</t>
        </is>
      </c>
      <c r="B19" s="4" t="n">
        <v>5</v>
      </c>
      <c r="C19" s="5" t="n">
        <v>15</v>
      </c>
      <c r="D19" s="4" t="n">
        <v>25</v>
      </c>
      <c r="E19" s="16">
        <f>IF(C19&lt;&gt;"",C19/D19*100,"")</f>
        <v/>
      </c>
      <c r="F19" s="5" t="inlineStr">
        <is>
          <t>Medium Risk</t>
        </is>
      </c>
      <c r="G19" s="5" t="inlineStr">
        <is>
          <t>No ISO/IEC 42001 certification or plans (E-02: 1/5); EU AI Act compliance program only initiated — a material gap for a high-risk healthcare deployment.</t>
        </is>
      </c>
    </row>
    <row r="20">
      <c r="A20" s="6" t="inlineStr">
        <is>
          <t>OVERALL</t>
        </is>
      </c>
      <c r="B20" s="4" t="n">
        <v>27</v>
      </c>
      <c r="C20" s="12">
        <f>SUM(C15:C19)</f>
        <v/>
      </c>
      <c r="D20" s="4" t="n">
        <v>135</v>
      </c>
      <c r="E20" s="13">
        <f>IF(C20&lt;&gt;"",C20/D20*100,"")</f>
        <v/>
      </c>
      <c r="F20" s="5" t="inlineStr">
        <is>
          <t>Medium Risk</t>
        </is>
      </c>
      <c r="G20" s="5" t="inlineStr">
        <is>
          <t>88/135 points (65.2%) — Medium Risk overall. A strong security and certification posture is offset by transparency gaps, high lock-in, weak disaggregated fairness testing, and missing AI-governance certification.</t>
        </is>
      </c>
    </row>
    <row r="21">
      <c r="A21" s="6" t="inlineStr">
        <is>
          <t>Scoring guide:</t>
        </is>
      </c>
      <c r="B21" s="4" t="inlineStr">
        <is>
          <t>&gt;=80% = Low Risk</t>
        </is>
      </c>
      <c r="C21" s="4" t="inlineStr">
        <is>
          <t>60-79% = Medium Risk</t>
        </is>
      </c>
      <c r="D21" s="4" t="inlineStr">
        <is>
          <t>&lt;60% = High Risk</t>
        </is>
      </c>
    </row>
    <row r="23">
      <c r="A23" s="2" t="inlineStr">
        <is>
          <t>SECTION C: Your Vendor Recommendation</t>
        </is>
      </c>
      <c r="B23" s="2" t="n"/>
      <c r="C23" s="2" t="n"/>
      <c r="D23" s="2" t="n"/>
      <c r="E23" s="2" t="n"/>
      <c r="F23" s="2" t="n"/>
      <c r="G23" s="2" t="n"/>
    </row>
    <row r="24">
      <c r="A24" s="6" t="inlineStr">
        <is>
          <t>Recommendation:</t>
        </is>
      </c>
      <c r="B24" s="5" t="inlineStr">
        <is>
          <t>CONDITIONAL APPROVAL — overall score 88/135 (65.2%, Medium Risk). FoundationHealth is viable as the foundation-model provider for launch only if the transparency, GDPR-transfer, and lock-in mitigations below are contractually secured before the Notified Body conformity assessment. Four of five categories sit exactly at the 60% Medium-Risk floor, so there is no margin for slippage.</t>
        </is>
      </c>
      <c r="C24" s="7" t="n"/>
      <c r="D24" s="7" t="n"/>
      <c r="E24" s="7" t="n"/>
      <c r="F24" s="7" t="n"/>
      <c r="G24" s="8" t="n"/>
    </row>
    <row r="25">
      <c r="A25" s="6" t="inlineStr">
        <is>
          <t>Key Strengths:</t>
        </is>
      </c>
      <c r="B25" s="5" t="inlineStr">
        <is>
          <t>1) Clean SOC 2 Type II (Deloitte 2024, no material findings), HIPAA BAA, and ISO 27001. 2) Strong SLA: 99.9% uptime with financial credits, P1 response in 1 hour. 3) Solid encryption (TLS 1.3 / AES-256) and annual third-party pen testing with no critical 2024 findings. 4) Disciplined versioning: 30-day update notice, customer opt-out, 90-day rollback window.</t>
        </is>
      </c>
      <c r="C25" s="7" t="n"/>
      <c r="D25" s="7" t="n"/>
      <c r="E25" s="7" t="n"/>
      <c r="F25" s="7" t="n"/>
      <c r="G25" s="8" t="n"/>
    </row>
    <row r="26">
      <c r="A26" s="6" t="inlineStr">
        <is>
          <t>Key Weaknesses:</t>
        </is>
      </c>
      <c r="B26" s="5" t="inlineStr">
        <is>
          <t>1) Training data opacity (T-01: 2/5) undermines Article 10 evidence. 2) No ISO/IEC 42001 certification or plans (E-02: 1/5). 3) High lock-in (C-03: 2/5): API-only, no weights, no escrow, no portability. 4) No disaggregated bias testing for EU demographics (G-04: 2/5). 5) US-based processing without a joint Transfer Impact Assessment; Series C startup not yet profitable.</t>
        </is>
      </c>
      <c r="C26" s="7" t="n"/>
      <c r="D26" s="7" t="n"/>
      <c r="E26" s="7" t="n"/>
      <c r="F26" s="7" t="n"/>
      <c r="G26" s="8" t="n"/>
    </row>
    <row r="27">
      <c r="A27" s="6" t="inlineStr">
        <is>
          <t>Required Mitigations:</t>
        </is>
      </c>
      <c r="B27" s="5" t="inlineStr">
        <is>
          <t>Before engagement milestones: deliver Article 10-grade training data documentation; conduct a joint Transfer Impact Assessment for GDPR Chapter V; perform disaggregated fairness testing on EU demographics; agree a fallback/model-distillation strategy and regression-test protocol for every model update (mitigates R-005).</t>
        </is>
      </c>
      <c r="C27" s="7" t="n"/>
      <c r="D27" s="7" t="n"/>
      <c r="E27" s="7" t="n"/>
      <c r="F27" s="7" t="n"/>
      <c r="G27" s="8" t="n"/>
    </row>
    <row r="28">
      <c r="A28" s="6" t="inlineStr">
        <is>
          <t>Contractual Requirements:</t>
        </is>
      </c>
      <c r="B28" s="5" t="inlineStr">
        <is>
          <t>Contract amendments: model escrow or portability clause; self-service rollback; joint incident-response protocol with 24-hour notification feeding our Art. 62 reporting; clinical-outcome liability rider or a raised liability cap (currently 12 months of fees); commitment to EU-hosted inference option; formalized support for EU AI Act conformity assessment and ISO/IEC 42001 certification roadmap.</t>
        </is>
      </c>
      <c r="C28" s="7" t="n"/>
      <c r="D28" s="7" t="n"/>
      <c r="E28" s="7" t="n"/>
      <c r="F28" s="7" t="n"/>
      <c r="G28" s="8" t="n"/>
    </row>
  </sheetData>
  <mergeCells count="6">
    <mergeCell ref="B24:G24"/>
    <mergeCell ref="A1:G1"/>
    <mergeCell ref="B28:G28"/>
    <mergeCell ref="B27:G27"/>
    <mergeCell ref="B26:G26"/>
    <mergeCell ref="B25:G25"/>
  </mergeCells>
  <pageMargins left="0.75" right="0.75" top="1" bottom="1" header="0.5" footer="0.5"/>
</worksheet>
</file>

<file path=xl/worksheets/sheet4.xml><?xml version="1.0" encoding="utf-8"?>
<worksheet xmlns="http://schemas.openxmlformats.org/spreadsheetml/2006/main">
  <sheetPr>
    <tabColor rgb="009B59B6"/>
    <outlinePr summaryBelow="1" summaryRight="1"/>
    <pageSetUpPr/>
  </sheetPr>
  <dimension ref="A1:D61"/>
  <sheetViews>
    <sheetView workbookViewId="0">
      <selection activeCell="A1" sqref="A1"/>
    </sheetView>
  </sheetViews>
  <sheetFormatPr baseColWidth="8" defaultRowHeight="15"/>
  <cols>
    <col width="30" customWidth="1" min="1" max="1"/>
    <col width="35" customWidth="1" min="2" max="2"/>
    <col width="35" customWidth="1" min="3" max="3"/>
    <col width="35" customWidth="1" min="4" max="4"/>
  </cols>
  <sheetData>
    <row r="1">
      <c r="A1" s="17" t="inlineStr">
        <is>
          <t>MODEL CARD — ClinicalCompanion v1.0 (Mitchell et al., 2019)</t>
        </is>
      </c>
    </row>
    <row r="3">
      <c r="A3" s="2" t="inlineStr">
        <is>
          <t>1. MODEL DETAILS (reference data)</t>
        </is>
      </c>
      <c r="B3" s="2" t="n"/>
      <c r="C3" s="2" t="n"/>
      <c r="D3" s="2" t="n"/>
    </row>
    <row r="4">
      <c r="A4" s="6" t="inlineStr">
        <is>
          <t>Model Name:</t>
        </is>
      </c>
      <c r="B4" s="4" t="inlineStr">
        <is>
          <t>FoundationHealth Medical LLM v3.2</t>
        </is>
      </c>
      <c r="C4" s="7" t="n"/>
      <c r="D4" s="8" t="n"/>
    </row>
    <row r="5">
      <c r="A5" s="6" t="inlineStr">
        <is>
          <t>Version:</t>
        </is>
      </c>
      <c r="B5" s="4" t="inlineStr">
        <is>
          <t>1.0</t>
        </is>
      </c>
      <c r="C5" s="7" t="n"/>
      <c r="D5" s="8" t="n"/>
    </row>
    <row r="6">
      <c r="A6" s="6" t="inlineStr">
        <is>
          <t>Type:</t>
        </is>
      </c>
      <c r="B6" s="4" t="inlineStr">
        <is>
          <t>Clinical Decision Support System (CDSS)</t>
        </is>
      </c>
      <c r="C6" s="7" t="n"/>
      <c r="D6" s="8" t="n"/>
    </row>
    <row r="7">
      <c r="A7" s="6" t="inlineStr">
        <is>
          <t>Developer:</t>
        </is>
      </c>
      <c r="B7" s="4" t="inlineStr">
        <is>
          <t>MedAssist AI</t>
        </is>
      </c>
      <c r="C7" s="7" t="n"/>
      <c r="D7" s="8" t="n"/>
    </row>
    <row r="8">
      <c r="A8" s="6" t="inlineStr">
        <is>
          <t>Planned Release:</t>
        </is>
      </c>
      <c r="B8" s="4" t="inlineStr">
        <is>
          <t>2025-09-01</t>
        </is>
      </c>
      <c r="C8" s="7" t="n"/>
      <c r="D8" s="8" t="n"/>
    </row>
    <row r="9">
      <c r="A9" s="6" t="inlineStr">
        <is>
          <t>Architecture:</t>
        </is>
      </c>
      <c r="B9" s="4" t="inlineStr">
        <is>
          <t>Transformer-based, 7B parameters</t>
        </is>
      </c>
      <c r="C9" s="7" t="n"/>
      <c r="D9" s="8" t="n"/>
    </row>
    <row r="10">
      <c r="A10" s="6" t="inlineStr">
        <is>
          <t>Access Method:</t>
        </is>
      </c>
      <c r="B10" s="4" t="inlineStr">
        <is>
          <t>API</t>
        </is>
      </c>
      <c r="C10" s="7" t="n"/>
      <c r="D10" s="8" t="n"/>
    </row>
    <row r="11">
      <c r="A11" s="6" t="inlineStr">
        <is>
          <t>Provider:</t>
        </is>
      </c>
      <c r="B11" s="4" t="inlineStr">
        <is>
          <t>FoundationHealth Inc.</t>
        </is>
      </c>
      <c r="C11" s="7" t="n"/>
      <c r="D11" s="8" t="n"/>
    </row>
    <row r="13">
      <c r="A13" s="2" t="inlineStr">
        <is>
          <t>2. INTENDED USE (reference data)</t>
        </is>
      </c>
      <c r="B13" s="2" t="n"/>
      <c r="C13" s="2" t="n"/>
      <c r="D13" s="2" t="n"/>
    </row>
    <row r="14">
      <c r="A14" s="6" t="inlineStr">
        <is>
          <t>Primary Functions:</t>
        </is>
      </c>
      <c r="B14" s="4" t="inlineStr">
        <is>
          <t>Ranked diagnostic suggestions with confidence scores; Differential diagnosis support with reasoning; Evidence-based treatment considerations mapped to clinical guidelines; Risk flags for critical findings, drug interactions, deteriorating status</t>
        </is>
      </c>
      <c r="C14" s="7" t="n"/>
      <c r="D14" s="8" t="n"/>
    </row>
    <row r="15">
      <c r="A15" s="6" t="inlineStr">
        <is>
          <t>Intended Users:</t>
        </is>
      </c>
      <c r="B15" s="4" t="inlineStr">
        <is>
          <t>Licensed physicians (primary care and specialists); Clinical fellows and residents (under attending supervision); Nurse practitioners and physician assistants (where authorized)</t>
        </is>
      </c>
      <c r="C15" s="7" t="n"/>
      <c r="D15" s="8" t="n"/>
    </row>
    <row r="16">
      <c r="A16" s="6" t="inlineStr">
        <is>
          <t>Out-of-Scope:</t>
        </is>
      </c>
      <c r="B16" s="4" t="inlineStr">
        <is>
          <t>Autonomous diagnosis or treatment decisions; Standalone diagnostic tool (must not replace physician judgment); Patient-facing interface (no direct patient use); Pediatric populations (under 18) in initial release; Emergency triage as sole decision-making tool</t>
        </is>
      </c>
      <c r="C16" s="7" t="n"/>
      <c r="D16" s="8" t="n"/>
    </row>
    <row r="18">
      <c r="A18" s="2" t="inlineStr">
        <is>
          <t>3. TRAINING DATA (reference data)</t>
        </is>
      </c>
      <c r="B18" s="2" t="n"/>
      <c r="C18" s="2" t="n"/>
      <c r="D18" s="2" t="n"/>
    </row>
    <row r="19">
      <c r="A19" s="6" t="inlineStr">
        <is>
          <t>Partner Hospital Network A (EU)</t>
        </is>
      </c>
      <c r="B19" s="4" t="inlineStr">
        <is>
          <t>280,000 records</t>
        </is>
      </c>
      <c r="C19" s="4" t="inlineStr">
        <is>
          <t>Germany, France, Netherlands</t>
        </is>
      </c>
      <c r="D19" s="4" t="inlineStr">
        <is>
          <t>EHR encounters</t>
        </is>
      </c>
    </row>
    <row r="20">
      <c r="A20" s="6" t="inlineStr">
        <is>
          <t>Partner Hospital Network B (US)</t>
        </is>
      </c>
      <c r="B20" s="4" t="inlineStr">
        <is>
          <t>170,000 records</t>
        </is>
      </c>
      <c r="C20" s="4" t="inlineStr">
        <is>
          <t>United States (multi-state)</t>
        </is>
      </c>
      <c r="D20" s="4" t="inlineStr">
        <is>
          <t>EHR encounters</t>
        </is>
      </c>
    </row>
    <row r="21">
      <c r="A21" s="6" t="inlineStr">
        <is>
          <t>PubMed Abstract Corpus</t>
        </is>
      </c>
      <c r="B21" s="4" t="inlineStr">
        <is>
          <t>2,100,000 records</t>
        </is>
      </c>
      <c r="C21" s="4" t="inlineStr">
        <is>
          <t>Global</t>
        </is>
      </c>
      <c r="D21" s="4" t="inlineStr">
        <is>
          <t>Medical literature abstracts</t>
        </is>
      </c>
    </row>
    <row r="22">
      <c r="A22" s="6" t="inlineStr">
        <is>
          <t>Expert Clinical Q&amp;A</t>
        </is>
      </c>
      <c r="B22" s="4" t="inlineStr">
        <is>
          <t>12,000 records</t>
        </is>
      </c>
      <c r="C22" s="4" t="inlineStr">
        <is>
          <t>EU, US</t>
        </is>
      </c>
      <c r="D22" s="4" t="inlineStr">
        <is>
          <t>Curated Q&amp;A pairs</t>
        </is>
      </c>
    </row>
    <row r="23">
      <c r="A23" s="6" t="inlineStr">
        <is>
          <t>Clinical Practice Guidelines</t>
        </is>
      </c>
      <c r="B23" s="4" t="inlineStr">
        <is>
          <t>340 records</t>
        </is>
      </c>
      <c r="C23" s="4" t="inlineStr">
        <is>
          <t>EU, US, WHO</t>
        </is>
      </c>
      <c r="D23" s="4" t="inlineStr">
        <is>
          <t>Practice guidelines</t>
        </is>
      </c>
    </row>
    <row r="24">
      <c r="A24" s="6" t="inlineStr">
        <is>
          <t>Total Records:</t>
        </is>
      </c>
      <c r="B24" s="4" t="inlineStr">
        <is>
          <t>2,562,340</t>
        </is>
      </c>
    </row>
    <row r="26">
      <c r="A26" s="2" t="inlineStr">
        <is>
          <t>4. KEY PERFORMANCE METRICS (from performance_metrics.csv)</t>
        </is>
      </c>
      <c r="B26" s="2" t="n"/>
      <c r="C26" s="2" t="n"/>
      <c r="D26" s="2" t="n"/>
    </row>
    <row r="27">
      <c r="A27" s="6" t="inlineStr">
        <is>
          <t>Overall Top-3 Accuracy:</t>
        </is>
      </c>
      <c r="B27" s="5" t="inlineStr">
        <is>
          <t>91.7% vs 90.0% target — meets target (held-out test set, n=45,000).</t>
        </is>
      </c>
      <c r="C27" s="7" t="n"/>
      <c r="D27" s="8" t="n"/>
    </row>
    <row r="28">
      <c r="A28" s="6" t="inlineStr">
        <is>
          <t>Hallucination Rate:</t>
        </is>
      </c>
      <c r="B28" s="5" t="inlineStr">
        <is>
          <t>3.4% vs &lt;2.0% target — DOES NOT meet target. Roughly 1 in 30 suggestions may contain fabricated references or diagnoses; unacceptable for patient safety until the output verification layer (R-001 mitigation) brings it below 2%.</t>
        </is>
      </c>
      <c r="C28" s="7" t="n"/>
      <c r="D28" s="8" t="n"/>
    </row>
    <row r="29">
      <c r="A29" s="6" t="inlineStr">
        <is>
          <t>Critical Finding Detection:</t>
        </is>
      </c>
      <c r="B29" s="5" t="inlineStr">
        <is>
          <t>94.2% vs 95.0% target — slightly below. The monitoring threshold (&gt;=93%, KPI-003) is met, but improvement is required because missed critical findings carry the highest clinical consequence.</t>
        </is>
      </c>
      <c r="C29" s="7" t="n"/>
      <c r="D29" s="8" t="n"/>
    </row>
    <row r="30">
      <c r="A30" s="6" t="inlineStr">
        <is>
          <t>Average Response Time:</t>
        </is>
      </c>
      <c r="B30" s="5" t="inlineStr">
        <is>
          <t>2.8 seconds average vs &lt;5.0 s SLA — meets the latency requirement comfortably.</t>
        </is>
      </c>
      <c r="C30" s="7" t="n"/>
      <c r="D30" s="8" t="n"/>
    </row>
    <row r="31">
      <c r="A31" s="6" t="inlineStr">
        <is>
          <t>Physician Override Rate:</t>
        </is>
      </c>
      <c r="B31" s="5" t="inlineStr">
        <is>
          <t>Not yet measured — the system is pre-deployment. Physician override rate will be tracked post-launch as the key automation-bias signal (R-007 mitigation: periodic override-rate assessments); a very low override rate would suggest over-reliance.</t>
        </is>
      </c>
      <c r="C31" s="7" t="n"/>
      <c r="D31" s="8" t="n"/>
    </row>
    <row r="33">
      <c r="A33" s="2" t="inlineStr">
        <is>
          <t>5. DISAGGREGATED PERFORMANCE (from performance_metrics.csv)</t>
        </is>
      </c>
      <c r="B33" s="2" t="n"/>
      <c r="C33" s="2" t="n"/>
      <c r="D33" s="2" t="n"/>
    </row>
    <row r="34">
      <c r="A34" s="6" t="inlineStr">
        <is>
          <t>Gender Parity:</t>
        </is>
      </c>
      <c r="B34" s="5" t="inlineStr">
        <is>
          <t>Male 92.1% vs Female 91.3% — a 0.8 pp gap, both above the 90% target and well within the &lt;3% gender-parity threshold (KPI-007). No material gender disparity.</t>
        </is>
      </c>
      <c r="C34" s="7" t="n"/>
      <c r="D34" s="8" t="n"/>
    </row>
    <row r="35">
      <c r="A35" s="6" t="inlineStr">
        <is>
          <t>Age Groups:</t>
        </is>
      </c>
      <c r="B35" s="5" t="inlineStr">
        <is>
          <t>Age 18-40: 93.5% and 41-64: 92.0% meet target; Age 65+: 88.9% is 1.1 pp below the 90% target — the only age group below target, and the demographic with the highest healthcare utilization (n=14,000). Monitor via KPI-006.</t>
        </is>
      </c>
      <c r="C35" s="7" t="n"/>
      <c r="D35" s="8" t="n"/>
    </row>
    <row r="36">
      <c r="A36" s="6" t="inlineStr">
        <is>
          <t>Specialty - Cardiovascular:</t>
        </is>
      </c>
      <c r="B36" s="5" t="inlineStr">
        <is>
          <t>94.1% — exceeds the 90% target; strongest subgroup in the evaluation.</t>
        </is>
      </c>
      <c r="C36" s="7" t="n"/>
      <c r="D36" s="8" t="n"/>
    </row>
    <row r="37">
      <c r="A37" s="6" t="inlineStr">
        <is>
          <t>Specialty - Neurological:</t>
        </is>
      </c>
      <c r="B37" s="5" t="inlineStr">
        <is>
          <t>90.3% — meets the 90% target, but only marginally (0.3 pp of headroom).</t>
        </is>
      </c>
      <c r="C37" s="7" t="n"/>
      <c r="D37" s="8" t="n"/>
    </row>
    <row r="38">
      <c r="A38" s="6" t="inlineStr">
        <is>
          <t>Specialty - Rare Diseases:</t>
        </is>
      </c>
      <c r="B38" s="5" t="inlineStr">
        <is>
          <t>71.2% — 18.8 pp below the 90% target and 20.5 pp below the overall score (91.7%); worst subgroup (n=1,035). This is the clearest Article 10 dataset-representativeness gap: rare-disease patients are precisely those who benefit most from diagnostic support, so launch without remediation creates both safety and compliance exposure.</t>
        </is>
      </c>
      <c r="C38" s="7" t="n"/>
      <c r="D38" s="8" t="n"/>
    </row>
    <row r="39">
      <c r="A39" s="6" t="inlineStr">
        <is>
          <t>Language - Non-English:</t>
        </is>
      </c>
      <c r="B39" s="5" t="inlineStr">
        <is>
          <t>84.3% — 5.7 pp below target, driven by translation artifacts in DE/FR/NL notes. Significant because the launch markets (Germany, France, Netherlands) are predominantly non-English; this gap directly undermines the EU go-to-market.</t>
        </is>
      </c>
      <c r="C39" s="7" t="n"/>
      <c r="D39" s="8" t="n"/>
    </row>
    <row r="40">
      <c r="A40" s="6" t="inlineStr">
        <is>
          <t>Complexity - Multi-morbidity:</t>
        </is>
      </c>
      <c r="B40" s="5" t="inlineStr">
        <is>
          <t>74.0% — 16 pp below target (n=7,650). Multi-morbidity patients are a large share of inpatient care, so the system performs worst exactly where clinical complexity and exposure are highest.</t>
        </is>
      </c>
      <c r="C40" s="7" t="n"/>
      <c r="D40" s="8" t="n"/>
    </row>
    <row r="42">
      <c r="A42" s="2" t="inlineStr">
        <is>
          <t>6. FAIRNESS METRICS (from performance_metrics.csv)</t>
        </is>
      </c>
      <c r="B42" s="2" t="n"/>
      <c r="C42" s="2" t="n"/>
      <c r="D42" s="2" t="n"/>
    </row>
    <row r="43">
      <c r="A43" s="6" t="inlineStr">
        <is>
          <t>Equalized Odds:</t>
        </is>
      </c>
      <c r="B43" s="5" t="inlineStr">
        <is>
          <t>0.96 (gender) vs &gt;0.90 target — meets; near parity between male and female patients.</t>
        </is>
      </c>
      <c r="C43" s="7" t="n"/>
      <c r="D43" s="8" t="n"/>
    </row>
    <row r="44">
      <c r="A44" s="6" t="inlineStr">
        <is>
          <t>Demographic Parity:</t>
        </is>
      </c>
      <c r="B44" s="5" t="inlineStr">
        <is>
          <t>0.91 (age) vs &gt;0.90 target — meets, but only marginally; the slight disparity is driven by the 65+ group (88.9% accuracy).</t>
        </is>
      </c>
      <c r="C44" s="7" t="n"/>
      <c r="D44" s="8" t="n"/>
    </row>
    <row r="45">
      <c r="A45" s="6" t="inlineStr">
        <is>
          <t>Predictive Parity:</t>
        </is>
      </c>
      <c r="B45" s="5" t="inlineStr">
        <is>
          <t>0.94 (conditions) vs &gt;0.90 target — meets across the top-20 condition categories, but this aggregate masks the rare-disease deficit (71.2%), which falls outside the top-20 categories measured.</t>
        </is>
      </c>
      <c r="C45" s="7" t="n"/>
      <c r="D45" s="8" t="n"/>
    </row>
    <row r="47">
      <c r="A47" s="2" t="inlineStr">
        <is>
          <t>7. YOUR FAIRNESS ANALYSIS</t>
        </is>
      </c>
      <c r="B47" s="2" t="n"/>
      <c r="C47" s="2" t="n"/>
      <c r="D47" s="2" t="n"/>
    </row>
    <row r="48">
      <c r="A48" s="6" t="inlineStr">
        <is>
          <t>Gender Parity Assessment:</t>
        </is>
      </c>
      <c r="B48" s="5" t="inlineStr">
        <is>
          <t>The 0.8 pp male-female gap (92.1% vs 91.3%) is acceptable: both groups exceed the target, the gap is well inside the &lt;3% KPI-007 threshold, and equalized odds is 0.96. Gender fairness is not a launch blocker; continue monthly stratified monitoring.</t>
        </is>
      </c>
      <c r="C48" s="7" t="n"/>
      <c r="D48" s="8" t="n"/>
    </row>
    <row r="49">
      <c r="A49" s="6" t="inlineStr">
        <is>
          <t>Age Group Equity:</t>
        </is>
      </c>
      <c r="B49" s="5" t="inlineStr">
        <is>
          <t>Age 65+ underperforms (88.9%, 1.1 pp below target) while younger groups exceed it. Implication: the group with the highest diagnostic complexity and utilization gets the weakest support. Demographic parity (0.91) sits just above the 0.90 floor — any drift would breach it. Requires targeted evaluation data and KPI-006 monitoring with a &gt;7% gap escalation trigger.</t>
        </is>
      </c>
      <c r="C49" s="7" t="n"/>
      <c r="D49" s="8" t="n"/>
    </row>
    <row r="50">
      <c r="A50" s="6" t="inlineStr">
        <is>
          <t>Underserved Populations:</t>
        </is>
      </c>
      <c r="B50" s="5" t="inlineStr">
        <is>
          <t>Rare Diseases (71.2%), Multi-morbidity (74.0%), and Non-English Notes (84.3%) are the material launch risks. For an EU launch in DE/FR/NL, the non-English gap affects the majority of real clinical documentation; the rare-disease and multi-morbidity gaps concentrate harm on the most vulnerable patients. Together they constitute an Article 10 representativeness non-conformity that must be remediated (data augmentation, R-002 mitigation) before general availability.</t>
        </is>
      </c>
      <c r="C50" s="7" t="n"/>
      <c r="D50" s="8" t="n"/>
    </row>
    <row r="51">
      <c r="A51" s="6" t="inlineStr">
        <is>
          <t>Fairness Metrics Interpretation:</t>
        </is>
      </c>
      <c r="B51" s="5" t="inlineStr">
        <is>
          <t>The three aggregate fairness ratios all pass (0.96 / 0.91 / 0.94 vs &gt;0.90), but they are insufficient: they are computed on gender, age, and top-20 conditions and do not capture the rare-disease, language, or complexity axes where the real gaps sit. Fairness governance needs disaggregated per-subgroup thresholds (KPI-008/KPI-009) rather than reliance on aggregate parity metrics.</t>
        </is>
      </c>
      <c r="C51" s="7" t="n"/>
      <c r="D51" s="8" t="n"/>
    </row>
    <row r="53">
      <c r="A53" s="2" t="inlineStr">
        <is>
          <t>8. YOUR ETHICAL CONSIDERATIONS</t>
        </is>
      </c>
      <c r="B53" s="2" t="n"/>
      <c r="C53" s="2" t="n"/>
      <c r="D53" s="2" t="n"/>
    </row>
    <row r="54">
      <c r="A54" s="6" t="inlineStr">
        <is>
          <t>Bias Concerns:</t>
        </is>
      </c>
      <c r="B54" s="5" t="inlineStr">
        <is>
          <t>Training data underrepresents Eastern European, Sub-Saharan African, and Southeast Asian populations (R-002, score 16), and rare-disease coverage is thin. Mitigation plan: targeted data augmentation, stratified performance audits per demographic, bias-monitoring dashboards, and Article 10 fairness thresholds, tracked quarterly via KPI-009 with the CMO as owner.</t>
        </is>
      </c>
      <c r="C54" s="7" t="n"/>
      <c r="D54" s="8" t="n"/>
    </row>
    <row r="55">
      <c r="A55" s="6" t="inlineStr">
        <is>
          <t>Patient Safety:</t>
        </is>
      </c>
      <c r="B55" s="5" t="inlineStr">
        <is>
          <t>Safeguards: physician-in-the-loop with mandatory active confirmation, confidence scores on every suggestion, critical-finding and drug-interaction flags, and RAG grounding in curated guidelines. Not yet sufficient: a 3.4% hallucination rate means fabricated content reaches physicians regularly; the output verification layer and physician feedback loop (R-001 mitigation) must land before launch.</t>
        </is>
      </c>
      <c r="C55" s="7" t="n"/>
      <c r="D55" s="8" t="n"/>
    </row>
    <row r="56">
      <c r="A56" s="6" t="inlineStr">
        <is>
          <t>Automation Bias:</t>
        </is>
      </c>
      <c r="B56" s="5" t="inlineStr">
        <is>
          <t>Under time pressure and fatigue, physicians may accept suggestions uncritically (R-007, score 15). Safeguards: UI requires active confirmation, uncertainty indicators on low-confidence outputs, mandatory user training, and periodic physician override-rate assessments to detect emerging over-reliance.</t>
        </is>
      </c>
      <c r="C56" s="7" t="n"/>
      <c r="D56" s="8" t="n"/>
    </row>
    <row r="57">
      <c r="A57" s="6" t="inlineStr">
        <is>
          <t>Data Privacy:</t>
        </is>
      </c>
      <c r="B57" s="5" t="inlineStr">
        <is>
          <t>Design is adequate on paper: NLP de-identification pipeline validated against HIPAA Safe Harbor and GDPR Article 9, &lt;0.04% re-identification target, quarterly assessments. Open issues: the DPIA (v1) predates the foundation-model data flows, and US-based API processing requires a joint Transfer Impact Assessment plus verified SCCs (R-008) before transfers can be considered compliant.</t>
        </is>
      </c>
      <c r="C57" s="7" t="n"/>
      <c r="D57" s="8" t="n"/>
    </row>
    <row r="59">
      <c r="A59" s="2" t="inlineStr">
        <is>
          <t>9. YOUR LIMITATIONS &amp; RECOMMENDATIONS</t>
        </is>
      </c>
      <c r="B59" s="2" t="n"/>
      <c r="C59" s="2" t="n"/>
      <c r="D59" s="2" t="n"/>
    </row>
    <row r="60">
      <c r="A60" s="6" t="inlineStr">
        <is>
          <t>Known Limitations:</t>
        </is>
      </c>
      <c r="B60" s="5" t="inlineStr">
        <is>
          <t>1) Hallucination rate 3.4% vs &lt;2% target. 2) Rare Diseases accuracy 71.2%. 3) Multi-morbidity accuracy 74.0%. 4) Non-English notes accuracy 84.3%. 5) Age 65+ accuracy 88.9%. 6) Critical finding detection 94.2% vs 95% target. 7) Vendor transparency: training data composition undisclosed. 8) No adversarial robustness testing performed. 9) Out of scope and untested: pediatrics, emergency triage, autonomous use, patient-facing use.</t>
        </is>
      </c>
      <c r="C60" s="7" t="n"/>
      <c r="D60" s="8" t="n"/>
    </row>
    <row r="61">
      <c r="A61" s="6" t="inlineStr">
        <is>
          <t>Recommendations:</t>
        </is>
      </c>
      <c r="B61" s="5" t="inlineStr">
        <is>
          <t>Priority order before EU launch: 1) Deploy the output verification layer and drive hallucinations below 2% (Month 1). 2) Complete Notified Body conformity assessment and Annex IV technical documentation (Month 2). 3) Execute Article 10 data augmentation for rare-disease, non-English, and multi-morbidity subgroups (Month 3). 4) Update the DPIA and complete a joint Transfer Impact Assessment with FoundationHealth (Month 2). 5) Run red-team adversarial robustness testing (Month 2). 6) Restrict launch to the Phase-1 German pilot until all of the above verify.</t>
        </is>
      </c>
      <c r="C61" s="7" t="n"/>
      <c r="D61" s="8" t="n"/>
    </row>
  </sheetData>
  <mergeCells count="37">
    <mergeCell ref="B11:D11"/>
    <mergeCell ref="B14:D14"/>
    <mergeCell ref="B60:D60"/>
    <mergeCell ref="B61:D61"/>
    <mergeCell ref="B57:D57"/>
    <mergeCell ref="B8:D8"/>
    <mergeCell ref="B44:D44"/>
    <mergeCell ref="B29:D29"/>
    <mergeCell ref="B38:D38"/>
    <mergeCell ref="B34:D34"/>
    <mergeCell ref="B10:D10"/>
    <mergeCell ref="B28:D28"/>
    <mergeCell ref="B37:D37"/>
    <mergeCell ref="B49:D49"/>
    <mergeCell ref="B40:D40"/>
    <mergeCell ref="B9:D9"/>
    <mergeCell ref="B30:D30"/>
    <mergeCell ref="B15:D15"/>
    <mergeCell ref="B55:D55"/>
    <mergeCell ref="B6:D6"/>
    <mergeCell ref="B51:D51"/>
    <mergeCell ref="A1:D1"/>
    <mergeCell ref="B5:D5"/>
    <mergeCell ref="B36:D36"/>
    <mergeCell ref="B45:D45"/>
    <mergeCell ref="B35:D35"/>
    <mergeCell ref="B4:D4"/>
    <mergeCell ref="B50:D50"/>
    <mergeCell ref="B7:D7"/>
    <mergeCell ref="B16:D16"/>
    <mergeCell ref="B54:D54"/>
    <mergeCell ref="B31:D31"/>
    <mergeCell ref="B27:D27"/>
    <mergeCell ref="B56:D56"/>
    <mergeCell ref="B43:D43"/>
    <mergeCell ref="B39:D39"/>
    <mergeCell ref="B48:D48"/>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H47"/>
  <sheetViews>
    <sheetView workbookViewId="0">
      <selection activeCell="A1" sqref="A1"/>
    </sheetView>
  </sheetViews>
  <sheetFormatPr baseColWidth="8" defaultRowHeight="15"/>
  <cols>
    <col width="22" customWidth="1" min="1" max="1"/>
    <col width="22" customWidth="1" min="2" max="2"/>
    <col width="30" customWidth="1" min="3" max="3"/>
    <col width="30" customWidth="1" min="4" max="4"/>
    <col width="22" customWidth="1" min="5" max="5"/>
    <col width="30" customWidth="1" min="6" max="6"/>
    <col width="22" customWidth="1" min="7" max="7"/>
    <col width="22" customWidth="1" min="8" max="8"/>
  </cols>
  <sheetData>
    <row r="1">
      <c r="A1" s="18" t="inlineStr">
        <is>
          <t>POST-DEPLOYMENT MONITORING &amp; INCIDENT RESPONSE PLAN</t>
        </is>
      </c>
    </row>
    <row r="3">
      <c r="A3" s="2" t="inlineStr">
        <is>
          <t>SECTION A: Key Performance Indicators (reference data)</t>
        </is>
      </c>
      <c r="B3" s="2" t="n"/>
      <c r="C3" s="2" t="n"/>
      <c r="D3" s="2" t="n"/>
      <c r="E3" s="2" t="n"/>
      <c r="F3" s="2" t="n"/>
      <c r="G3" s="2" t="n"/>
      <c r="H3" s="2" t="n"/>
    </row>
    <row r="4">
      <c r="A4" s="19" t="inlineStr">
        <is>
          <t>KPI ID</t>
        </is>
      </c>
      <c r="B4" s="19" t="inlineStr">
        <is>
          <t>Dimension</t>
        </is>
      </c>
      <c r="C4" s="19" t="inlineStr">
        <is>
          <t>Metric Name</t>
        </is>
      </c>
      <c r="D4" s="19" t="inlineStr">
        <is>
          <t>Measurement Method</t>
        </is>
      </c>
      <c r="E4" s="19" t="inlineStr">
        <is>
          <t>Frequency</t>
        </is>
      </c>
      <c r="F4" s="19" t="inlineStr">
        <is>
          <t>Threshold</t>
        </is>
      </c>
      <c r="G4" s="19" t="inlineStr">
        <is>
          <t>Escalation Trigger</t>
        </is>
      </c>
      <c r="H4" s="19" t="inlineStr">
        <is>
          <t>Responsible Role</t>
        </is>
      </c>
    </row>
    <row r="5">
      <c r="A5" s="4" t="inlineStr">
        <is>
          <t>KPI-001</t>
        </is>
      </c>
      <c r="B5" s="4" t="inlineStr">
        <is>
          <t>Clinical Performance</t>
        </is>
      </c>
      <c r="C5" s="4" t="inlineStr">
        <is>
          <t>Top-3 Diagnostic Accuracy</t>
        </is>
      </c>
      <c r="D5" s="4" t="inlineStr">
        <is>
          <t>Comparison against physician-confirmed diagnoses (sampled)</t>
        </is>
      </c>
      <c r="E5" s="4" t="inlineStr">
        <is>
          <t>Weekly (sampled), Monthly (full)</t>
        </is>
      </c>
      <c r="F5" s="4" t="inlineStr">
        <is>
          <t>&gt;= 90%</t>
        </is>
      </c>
      <c r="G5" s="4" t="inlineStr">
        <is>
          <t>Drops below 88% for 2 consecutive weeks</t>
        </is>
      </c>
      <c r="H5" s="4" t="inlineStr">
        <is>
          <t>Data Science Team</t>
        </is>
      </c>
    </row>
    <row r="6">
      <c r="A6" s="4" t="inlineStr">
        <is>
          <t>KPI-002</t>
        </is>
      </c>
      <c r="B6" s="4" t="inlineStr">
        <is>
          <t>Clinical Performance</t>
        </is>
      </c>
      <c r="C6" s="4" t="inlineStr">
        <is>
          <t>Hallucination Rate</t>
        </is>
      </c>
      <c r="D6" s="4" t="inlineStr">
        <is>
          <t>Automated reference verification + physician flagging</t>
        </is>
      </c>
      <c r="E6" s="4" t="inlineStr">
        <is>
          <t>Daily (auto), Weekly (manual)</t>
        </is>
      </c>
      <c r="F6" s="4" t="inlineStr">
        <is>
          <t>&lt; 2% (current: 3.4%)</t>
        </is>
      </c>
      <c r="G6" s="4" t="inlineStr">
        <is>
          <t>Exceeds 5% or any critical hallucination</t>
        </is>
      </c>
      <c r="H6" s="4" t="inlineStr">
        <is>
          <t>Data Science Team</t>
        </is>
      </c>
    </row>
    <row r="7">
      <c r="A7" s="4" t="inlineStr">
        <is>
          <t>KPI-003</t>
        </is>
      </c>
      <c r="B7" s="4" t="inlineStr">
        <is>
          <t>Clinical Performance</t>
        </is>
      </c>
      <c r="C7" s="4" t="inlineStr">
        <is>
          <t>Critical Finding Detection</t>
        </is>
      </c>
      <c r="D7" s="4" t="inlineStr">
        <is>
          <t>Audit against known critical cases in test set</t>
        </is>
      </c>
      <c r="E7" s="4" t="inlineStr">
        <is>
          <t>Monthly</t>
        </is>
      </c>
      <c r="F7" s="4" t="inlineStr">
        <is>
          <t>&gt;= 93%</t>
        </is>
      </c>
      <c r="G7" s="4" t="inlineStr">
        <is>
          <t>Drops below 90%</t>
        </is>
      </c>
      <c r="H7" s="4" t="inlineStr">
        <is>
          <t>Clinical Safety Officer</t>
        </is>
      </c>
    </row>
    <row r="8">
      <c r="A8" s="4" t="inlineStr">
        <is>
          <t>KPI-004</t>
        </is>
      </c>
      <c r="B8" s="4" t="inlineStr">
        <is>
          <t>Clinical Performance</t>
        </is>
      </c>
      <c r="C8" s="4" t="inlineStr">
        <is>
          <t>False Positive Rate (Critical)</t>
        </is>
      </c>
      <c r="D8" s="4" t="inlineStr">
        <is>
          <t>Review of physician dismissal rates for critical alerts</t>
        </is>
      </c>
      <c r="E8" s="4" t="inlineStr">
        <is>
          <t>Weekly</t>
        </is>
      </c>
      <c r="F8" s="4" t="inlineStr">
        <is>
          <t>&lt; 10%</t>
        </is>
      </c>
      <c r="G8" s="4" t="inlineStr">
        <is>
          <t>Exceeds 15%</t>
        </is>
      </c>
      <c r="H8" s="4" t="inlineStr">
        <is>
          <t>Data Science Team</t>
        </is>
      </c>
    </row>
    <row r="9">
      <c r="A9" s="4" t="inlineStr">
        <is>
          <t>KPI-005</t>
        </is>
      </c>
      <c r="B9" s="4" t="inlineStr">
        <is>
          <t>Clinical Performance</t>
        </is>
      </c>
      <c r="C9" s="4" t="inlineStr">
        <is>
          <t>Drug Interaction Precision</t>
        </is>
      </c>
      <c r="D9" s="4" t="inlineStr">
        <is>
          <t>Comparison against PharmaDB ground truth</t>
        </is>
      </c>
      <c r="E9" s="4" t="inlineStr">
        <is>
          <t>Monthly</t>
        </is>
      </c>
      <c r="F9" s="4" t="inlineStr">
        <is>
          <t>&gt;= 85%</t>
        </is>
      </c>
      <c r="G9" s="4" t="inlineStr">
        <is>
          <t>Drops below 80%</t>
        </is>
      </c>
      <c r="H9" s="4" t="inlineStr">
        <is>
          <t>Data Science Team</t>
        </is>
      </c>
    </row>
    <row r="10">
      <c r="A10" s="4" t="inlineStr">
        <is>
          <t>KPI-006</t>
        </is>
      </c>
      <c r="B10" s="4" t="inlineStr">
        <is>
          <t>Fairness &amp; Bias</t>
        </is>
      </c>
      <c r="C10" s="4" t="inlineStr">
        <is>
          <t>Accuracy Parity (age groups)</t>
        </is>
      </c>
      <c r="D10" s="4" t="inlineStr">
        <is>
          <t>Stratified accuracy comparison across age brackets</t>
        </is>
      </c>
      <c r="E10" s="4" t="inlineStr">
        <is>
          <t>Monthly</t>
        </is>
      </c>
      <c r="F10" s="4" t="inlineStr">
        <is>
          <t>Max gap &lt; 5% across standard groups</t>
        </is>
      </c>
      <c r="G10" s="4" t="inlineStr">
        <is>
          <t>Any group drops &gt;7% below overall</t>
        </is>
      </c>
      <c r="H10" s="4" t="inlineStr">
        <is>
          <t>AI Governance Analyst</t>
        </is>
      </c>
    </row>
    <row r="11">
      <c r="A11" s="4" t="inlineStr">
        <is>
          <t>KPI-007</t>
        </is>
      </c>
      <c r="B11" s="4" t="inlineStr">
        <is>
          <t>Fairness &amp; Bias</t>
        </is>
      </c>
      <c r="C11" s="4" t="inlineStr">
        <is>
          <t>Accuracy Parity (gender)</t>
        </is>
      </c>
      <c r="D11" s="4" t="inlineStr">
        <is>
          <t>Stratified accuracy by gender</t>
        </is>
      </c>
      <c r="E11" s="4" t="inlineStr">
        <is>
          <t>Monthly</t>
        </is>
      </c>
      <c r="F11" s="4" t="inlineStr">
        <is>
          <t>Max gap &lt; 3%</t>
        </is>
      </c>
      <c r="G11" s="4" t="inlineStr">
        <is>
          <t>Gap exceeds 5%</t>
        </is>
      </c>
      <c r="H11" s="4" t="inlineStr">
        <is>
          <t>AI Governance Analyst</t>
        </is>
      </c>
    </row>
    <row r="12">
      <c r="A12" s="4" t="inlineStr">
        <is>
          <t>KPI-008</t>
        </is>
      </c>
      <c r="B12" s="4" t="inlineStr">
        <is>
          <t>Fairness &amp; Bias</t>
        </is>
      </c>
      <c r="C12" s="4" t="inlineStr">
        <is>
          <t>Equalized Odds</t>
        </is>
      </c>
      <c r="D12" s="4" t="inlineStr">
        <is>
          <t>FPR/FNR comparison across demographics</t>
        </is>
      </c>
      <c r="E12" s="4" t="inlineStr">
        <is>
          <t>Quarterly</t>
        </is>
      </c>
      <c r="F12" s="4" t="inlineStr">
        <is>
          <t>&gt;= 0.90 across groups</t>
        </is>
      </c>
      <c r="G12" s="4" t="inlineStr">
        <is>
          <t>Drops below 0.85 for any group</t>
        </is>
      </c>
      <c r="H12" s="4" t="inlineStr">
        <is>
          <t>AI Governance Analyst</t>
        </is>
      </c>
    </row>
    <row r="13">
      <c r="A13" s="4" t="inlineStr">
        <is>
          <t>KPI-009</t>
        </is>
      </c>
      <c r="B13" s="4" t="inlineStr">
        <is>
          <t>Fairness &amp; Bias</t>
        </is>
      </c>
      <c r="C13" s="4" t="inlineStr">
        <is>
          <t>Underrepresented Pop. Performance</t>
        </is>
      </c>
      <c r="D13" s="4" t="inlineStr">
        <is>
          <t>Dedicated evaluation on underrepresented data</t>
        </is>
      </c>
      <c r="E13" s="4" t="inlineStr">
        <is>
          <t>Quarterly</t>
        </is>
      </c>
      <c r="F13" s="4" t="inlineStr">
        <is>
          <t>Improving trend toward parity</t>
        </is>
      </c>
      <c r="G13" s="4" t="inlineStr">
        <is>
          <t>Performance gap widening</t>
        </is>
      </c>
      <c r="H13" s="4" t="inlineStr">
        <is>
          <t>Chief Medical Officer</t>
        </is>
      </c>
    </row>
    <row r="14">
      <c r="A14" s="4" t="inlineStr">
        <is>
          <t>KPI-010</t>
        </is>
      </c>
      <c r="B14" s="4" t="inlineStr">
        <is>
          <t>Operational</t>
        </is>
      </c>
      <c r="C14" s="4" t="inlineStr">
        <is>
          <t>System Uptime</t>
        </is>
      </c>
      <c r="D14" s="4" t="inlineStr">
        <is>
          <t>AWS CloudWatch infrastructure monitoring</t>
        </is>
      </c>
      <c r="E14" s="4" t="inlineStr">
        <is>
          <t>Real-time</t>
        </is>
      </c>
      <c r="F14" s="4" t="inlineStr">
        <is>
          <t>&gt;= 99.9%</t>
        </is>
      </c>
      <c r="G14" s="4" t="inlineStr">
        <is>
          <t>Drops below 99.5% in any month</t>
        </is>
      </c>
      <c r="H14" s="4" t="inlineStr">
        <is>
          <t>VP Engineering</t>
        </is>
      </c>
    </row>
    <row r="15">
      <c r="A15" s="4" t="inlineStr">
        <is>
          <t>KPI-011</t>
        </is>
      </c>
      <c r="B15" s="4" t="inlineStr">
        <is>
          <t>Operational</t>
        </is>
      </c>
      <c r="C15" s="4" t="inlineStr">
        <is>
          <t>Average Response Latency</t>
        </is>
      </c>
      <c r="D15" s="4" t="inlineStr">
        <is>
          <t>API response time tracking</t>
        </is>
      </c>
      <c r="E15" s="4" t="inlineStr">
        <is>
          <t>Real-time</t>
        </is>
      </c>
      <c r="F15" s="4" t="inlineStr">
        <is>
          <t>&lt; 5 seconds (p95)</t>
        </is>
      </c>
      <c r="G15" s="4" t="inlineStr">
        <is>
          <t>p95 exceeds 8 seconds</t>
        </is>
      </c>
      <c r="H15" s="4" t="inlineStr">
        <is>
          <t>VP Engineering</t>
        </is>
      </c>
    </row>
    <row r="16">
      <c r="A16" s="4" t="inlineStr">
        <is>
          <t>KPI-012</t>
        </is>
      </c>
      <c r="B16" s="4" t="inlineStr">
        <is>
          <t>Operational</t>
        </is>
      </c>
      <c r="C16" s="4" t="inlineStr">
        <is>
          <t>API Error Rate</t>
        </is>
      </c>
      <c r="D16" s="4" t="inlineStr">
        <is>
          <t>HTTP error code monitoring</t>
        </is>
      </c>
      <c r="E16" s="4" t="inlineStr">
        <is>
          <t>Real-time</t>
        </is>
      </c>
      <c r="F16" s="4" t="inlineStr">
        <is>
          <t>&lt; 0.1%</t>
        </is>
      </c>
      <c r="G16" s="4" t="inlineStr">
        <is>
          <t>Exceeds 1%</t>
        </is>
      </c>
      <c r="H16" s="4" t="inlineStr">
        <is>
          <t>VP Engineering</t>
        </is>
      </c>
    </row>
    <row r="17">
      <c r="A17" s="4" t="inlineStr">
        <is>
          <t>KPI-013</t>
        </is>
      </c>
      <c r="B17" s="4" t="inlineStr">
        <is>
          <t>Operational</t>
        </is>
      </c>
      <c r="C17" s="4" t="inlineStr">
        <is>
          <t>Vendor API Availability</t>
        </is>
      </c>
      <c r="D17" s="4" t="inlineStr">
        <is>
          <t>FoundationHealth API health checks</t>
        </is>
      </c>
      <c r="E17" s="4" t="inlineStr">
        <is>
          <t>Real-time</t>
        </is>
      </c>
      <c r="F17" s="4" t="inlineStr">
        <is>
          <t>&gt;= 99.9% per SLA</t>
        </is>
      </c>
      <c r="G17" s="4" t="inlineStr">
        <is>
          <t>Any outage &gt; 15 minutes</t>
        </is>
      </c>
      <c r="H17" s="4" t="inlineStr">
        <is>
          <t>VP Engineering</t>
        </is>
      </c>
    </row>
    <row r="18">
      <c r="A18" s="4" t="inlineStr">
        <is>
          <t>KPI-014</t>
        </is>
      </c>
      <c r="B18" s="4" t="inlineStr">
        <is>
          <t>Data Quality</t>
        </is>
      </c>
      <c r="C18" s="4" t="inlineStr">
        <is>
          <t>Input Data Completeness</t>
        </is>
      </c>
      <c r="D18" s="4" t="inlineStr">
        <is>
          <t>Validation of required EHR fields</t>
        </is>
      </c>
      <c r="E18" s="4" t="inlineStr">
        <is>
          <t>Per-request</t>
        </is>
      </c>
      <c r="F18" s="4" t="inlineStr">
        <is>
          <t>&gt;= 95% completeness</t>
        </is>
      </c>
      <c r="G18" s="4" t="inlineStr">
        <is>
          <t>Drops below 90%</t>
        </is>
      </c>
      <c r="H18" s="4" t="inlineStr">
        <is>
          <t>Data Science Team</t>
        </is>
      </c>
    </row>
    <row r="19">
      <c r="A19" s="4" t="inlineStr">
        <is>
          <t>KPI-015</t>
        </is>
      </c>
      <c r="B19" s="4" t="inlineStr">
        <is>
          <t>Data Quality</t>
        </is>
      </c>
      <c r="C19" s="4" t="inlineStr">
        <is>
          <t>De-identification Validation</t>
        </is>
      </c>
      <c r="D19" s="4" t="inlineStr">
        <is>
          <t>Automated PII scanning of model inputs</t>
        </is>
      </c>
      <c r="E19" s="4" t="inlineStr">
        <is>
          <t>Daily</t>
        </is>
      </c>
      <c r="F19" s="4" t="inlineStr">
        <is>
          <t>0 PII leaks</t>
        </is>
      </c>
      <c r="G19" s="4" t="inlineStr">
        <is>
          <t>Any PII detected in model input</t>
        </is>
      </c>
      <c r="H19" s="4" t="inlineStr">
        <is>
          <t>Data Protection Officer</t>
        </is>
      </c>
    </row>
    <row r="20">
      <c r="A20" s="4" t="inlineStr">
        <is>
          <t>KPI-016</t>
        </is>
      </c>
      <c r="B20" s="4" t="inlineStr">
        <is>
          <t>Data Quality</t>
        </is>
      </c>
      <c r="C20" s="4" t="inlineStr">
        <is>
          <t>Data Drift Detection</t>
        </is>
      </c>
      <c r="D20" s="4" t="inlineStr">
        <is>
          <t>Statistical comparison of input distributions vs training data (KL divergence)</t>
        </is>
      </c>
      <c r="E20" s="4" t="inlineStr">
        <is>
          <t>Monthly</t>
        </is>
      </c>
      <c r="F20" s="4" t="inlineStr">
        <is>
          <t>KL divergence &lt; 0.1</t>
        </is>
      </c>
      <c r="G20" s="4" t="inlineStr">
        <is>
          <t>KL divergence exceeds 0.2</t>
        </is>
      </c>
      <c r="H20" s="4" t="inlineStr">
        <is>
          <t>Data Science Team</t>
        </is>
      </c>
    </row>
    <row r="22">
      <c r="A22" s="2" t="inlineStr">
        <is>
          <t>SECTION B: AI-Specific Incident Taxonomy (from incident_types.csv)</t>
        </is>
      </c>
      <c r="B22" s="2" t="n"/>
      <c r="C22" s="2" t="n"/>
      <c r="D22" s="2" t="n"/>
      <c r="E22" s="2" t="n"/>
      <c r="F22" s="2" t="n"/>
      <c r="G22" s="2" t="n"/>
      <c r="H22" s="2" t="n"/>
    </row>
    <row r="23">
      <c r="A23" s="19" t="inlineStr">
        <is>
          <t>Incident ID</t>
        </is>
      </c>
      <c r="B23" s="19" t="inlineStr">
        <is>
          <t>Incident Type</t>
        </is>
      </c>
      <c r="C23" s="19" t="inlineStr">
        <is>
          <t>Description</t>
        </is>
      </c>
      <c r="D23" s="19" t="inlineStr">
        <is>
          <t>Example</t>
        </is>
      </c>
      <c r="E23" s="19" t="inlineStr">
        <is>
          <t>Severity Range</t>
        </is>
      </c>
      <c r="F23" s="19" t="inlineStr">
        <is>
          <t>Detection Method</t>
        </is>
      </c>
    </row>
    <row r="24">
      <c r="A24" s="5" t="inlineStr">
        <is>
          <t>INC-01</t>
        </is>
      </c>
      <c r="B24" s="5" t="inlineStr">
        <is>
          <t>Clinical Hallucination</t>
        </is>
      </c>
      <c r="C24" s="5" t="inlineStr">
        <is>
          <t>Model generates fabricated medical information, references, or diagnoses</t>
        </is>
      </c>
      <c r="D24" s="5" t="inlineStr">
        <is>
          <t>Recommending a drug that does not exist or citing a non-existent clinical trial</t>
        </is>
      </c>
      <c r="E24" s="5" t="inlineStr">
        <is>
          <t>S2-S1</t>
        </is>
      </c>
      <c r="F24" s="5" t="inlineStr">
        <is>
          <t>Automated reference verification, physician flagging</t>
        </is>
      </c>
    </row>
    <row r="25">
      <c r="A25" s="5" t="inlineStr">
        <is>
          <t>INC-02</t>
        </is>
      </c>
      <c r="B25" s="5" t="inlineStr">
        <is>
          <t>Harmful Suggestion</t>
        </is>
      </c>
      <c r="C25" s="5" t="inlineStr">
        <is>
          <t>Model output could lead to patient harm if followed</t>
        </is>
      </c>
      <c r="D25" s="5" t="inlineStr">
        <is>
          <t>Suggesting contraindicated medication for documented allergy</t>
        </is>
      </c>
      <c r="E25" s="5" t="inlineStr">
        <is>
          <t>S1</t>
        </is>
      </c>
      <c r="F25" s="5" t="inlineStr">
        <is>
          <t>Physician reporting, safety filter logs</t>
        </is>
      </c>
    </row>
    <row r="26">
      <c r="A26" s="5" t="inlineStr">
        <is>
          <t>INC-03</t>
        </is>
      </c>
      <c r="B26" s="5" t="inlineStr">
        <is>
          <t>Bias-Related Harm</t>
        </is>
      </c>
      <c r="C26" s="5" t="inlineStr">
        <is>
          <t>Model demonstrates systematic bias affecting care quality for specific groups</t>
        </is>
      </c>
      <c r="D26" s="5" t="inlineStr">
        <is>
          <t>Consistently lower diagnostic accuracy for a specific ethnic or age group</t>
        </is>
      </c>
      <c r="E26" s="5" t="inlineStr">
        <is>
          <t>S2-S1</t>
        </is>
      </c>
      <c r="F26" s="5" t="inlineStr">
        <is>
          <t>Stratified performance monitoring, fairness dashboards</t>
        </is>
      </c>
    </row>
    <row r="27">
      <c r="A27" s="5" t="inlineStr">
        <is>
          <t>INC-04</t>
        </is>
      </c>
      <c r="B27" s="5" t="inlineStr">
        <is>
          <t>Privacy Breach</t>
        </is>
      </c>
      <c r="C27" s="5" t="inlineStr">
        <is>
          <t>Patient identifiable information exposed through model behavior</t>
        </is>
      </c>
      <c r="D27" s="5" t="inlineStr">
        <is>
          <t>Model outputs patient name or MRN in response (de-identification failure)</t>
        </is>
      </c>
      <c r="E27" s="5" t="inlineStr">
        <is>
          <t>S1</t>
        </is>
      </c>
      <c r="F27" s="5" t="inlineStr">
        <is>
          <t>Automated PII scanning, audit log review</t>
        </is>
      </c>
    </row>
    <row r="28">
      <c r="A28" s="5" t="inlineStr">
        <is>
          <t>INC-05</t>
        </is>
      </c>
      <c r="B28" s="5" t="inlineStr">
        <is>
          <t>Performance Degradation</t>
        </is>
      </c>
      <c r="C28" s="5" t="inlineStr">
        <is>
          <t>Significant drop in model accuracy or reliability</t>
        </is>
      </c>
      <c r="D28" s="5" t="inlineStr">
        <is>
          <t>Top-3 accuracy drops below 85% across all cases</t>
        </is>
      </c>
      <c r="E28" s="5" t="inlineStr">
        <is>
          <t>S3-S2</t>
        </is>
      </c>
      <c r="F28" s="5" t="inlineStr">
        <is>
          <t>Automated KPI monitoring alerts</t>
        </is>
      </c>
    </row>
    <row r="29">
      <c r="A29" s="5" t="inlineStr">
        <is>
          <t>INC-06</t>
        </is>
      </c>
      <c r="B29" s="5" t="inlineStr">
        <is>
          <t>Adversarial Manipulation</t>
        </is>
      </c>
      <c r="C29" s="5" t="inlineStr">
        <is>
          <t>Deliberate attempt to manipulate model outputs</t>
        </is>
      </c>
      <c r="D29" s="5" t="inlineStr">
        <is>
          <t>Prompt injection via crafted clinical notes to alter diagnostic suggestions</t>
        </is>
      </c>
      <c r="E29" s="5" t="inlineStr">
        <is>
          <t>S2-S1</t>
        </is>
      </c>
      <c r="F29" s="5" t="inlineStr">
        <is>
          <t>Security monitoring, anomaly detection</t>
        </is>
      </c>
    </row>
    <row r="30">
      <c r="A30" s="5" t="inlineStr">
        <is>
          <t>INC-07</t>
        </is>
      </c>
      <c r="B30" s="5" t="inlineStr">
        <is>
          <t>Vendor Service Disruption</t>
        </is>
      </c>
      <c r="C30" s="5" t="inlineStr">
        <is>
          <t>FoundationHealth API outage or significant degradation</t>
        </is>
      </c>
      <c r="D30" s="5" t="inlineStr">
        <is>
          <t>API returns errors, timeouts, or unacceptable latency for &gt;15 minutes</t>
        </is>
      </c>
      <c r="E30" s="5" t="inlineStr">
        <is>
          <t>S3-S2</t>
        </is>
      </c>
      <c r="F30" s="5" t="inlineStr">
        <is>
          <t>Real-time API health checks</t>
        </is>
      </c>
    </row>
    <row r="31">
      <c r="A31" s="5" t="inlineStr">
        <is>
          <t>INC-08</t>
        </is>
      </c>
      <c r="B31" s="5" t="inlineStr">
        <is>
          <t>Data Pipeline Failure</t>
        </is>
      </c>
      <c r="C31" s="5" t="inlineStr">
        <is>
          <t>Failure in data ingestion, de-identification, or processing</t>
        </is>
      </c>
      <c r="D31" s="5" t="inlineStr">
        <is>
          <t>De-identification engine fails; raw patient data sent to model API</t>
        </is>
      </c>
      <c r="E31" s="5" t="inlineStr">
        <is>
          <t>S1</t>
        </is>
      </c>
      <c r="F31" s="5" t="inlineStr">
        <is>
          <t>Pipeline health monitoring, automated validation</t>
        </is>
      </c>
    </row>
    <row r="32">
      <c r="A32" s="5" t="inlineStr">
        <is>
          <t>INC-09</t>
        </is>
      </c>
      <c r="B32" s="5" t="inlineStr">
        <is>
          <t>Unauthorized Access</t>
        </is>
      </c>
      <c r="C32" s="5" t="inlineStr">
        <is>
          <t>Unauthorized user gains access to system or data</t>
        </is>
      </c>
      <c r="D32" s="5" t="inlineStr">
        <is>
          <t>Compromised physician credentials used to query ClinicalCompanion</t>
        </is>
      </c>
      <c r="E32" s="5" t="inlineStr">
        <is>
          <t>S2-S1</t>
        </is>
      </c>
      <c r="F32" s="5" t="inlineStr">
        <is>
          <t>Authentication logs, SIEM alerts</t>
        </is>
      </c>
    </row>
    <row r="33">
      <c r="A33" s="5" t="inlineStr">
        <is>
          <t>INC-10</t>
        </is>
      </c>
      <c r="B33" s="5" t="inlineStr">
        <is>
          <t>Regulatory Non-Compliance</t>
        </is>
      </c>
      <c r="C33" s="5" t="inlineStr">
        <is>
          <t>Discovery of non-compliance with applicable regulations</t>
        </is>
      </c>
      <c r="D33" s="5" t="inlineStr">
        <is>
          <t>Post-market monitoring requirement not met per EU AI Act deadline</t>
        </is>
      </c>
      <c r="E33" s="5" t="inlineStr">
        <is>
          <t>S3-S2</t>
        </is>
      </c>
      <c r="F33" s="5" t="inlineStr">
        <is>
          <t>Compliance calendar, internal audit</t>
        </is>
      </c>
    </row>
    <row r="35">
      <c r="A35" s="2" t="inlineStr">
        <is>
          <t>SECTION C: Severity Classification &amp; Response Times (from severity_levels.csv)</t>
        </is>
      </c>
      <c r="B35" s="2" t="n"/>
      <c r="C35" s="2" t="n"/>
      <c r="D35" s="2" t="n"/>
      <c r="E35" s="2" t="n"/>
      <c r="F35" s="2" t="n"/>
      <c r="G35" s="2" t="n"/>
      <c r="H35" s="2" t="n"/>
    </row>
    <row r="36">
      <c r="A36" s="19" t="inlineStr">
        <is>
          <t>Severity</t>
        </is>
      </c>
      <c r="B36" s="19" t="inlineStr">
        <is>
          <t>Label</t>
        </is>
      </c>
      <c r="C36" s="19" t="inlineStr">
        <is>
          <t>Definition</t>
        </is>
      </c>
      <c r="D36" s="19" t="inlineStr">
        <is>
          <t>Response Time</t>
        </is>
      </c>
      <c r="E36" s="19" t="inlineStr">
        <is>
          <t>Response
(hours)</t>
        </is>
      </c>
      <c r="F36" s="19" t="inlineStr">
        <is>
          <t>Containment Action</t>
        </is>
      </c>
      <c r="G36" s="19" t="inlineStr">
        <is>
          <t>Incident Commander</t>
        </is>
      </c>
    </row>
    <row r="37">
      <c r="A37" s="5" t="inlineStr">
        <is>
          <t>S1</t>
        </is>
      </c>
      <c r="B37" s="5" t="inlineStr">
        <is>
          <t>Critical</t>
        </is>
      </c>
      <c r="C37" s="5" t="inlineStr">
        <is>
          <t>Immediate risk to patient safety or major regulatory violation; system must be halted</t>
        </is>
      </c>
      <c r="D37" s="5" t="inlineStr">
        <is>
          <t>Immediate (30 min)</t>
        </is>
      </c>
      <c r="E37" s="5" t="n">
        <v>0.5</v>
      </c>
      <c r="F37" s="5" t="inlineStr">
        <is>
          <t>Suspend ClinicalCompanion in affected facilities; notify users; preserve logs; activate full response team; notify regulators if required (Art. 62)</t>
        </is>
      </c>
      <c r="G37" s="5" t="inlineStr">
        <is>
          <t>Chief Medical Officer</t>
        </is>
      </c>
    </row>
    <row r="38">
      <c r="A38" s="5" t="inlineStr">
        <is>
          <t>S2</t>
        </is>
      </c>
      <c r="B38" s="5" t="inlineStr">
        <is>
          <t>High</t>
        </is>
      </c>
      <c r="C38" s="5" t="inlineStr">
        <is>
          <t>Potential risk to patient safety or significant compliance issue; urgent action required</t>
        </is>
      </c>
      <c r="D38" s="5" t="inlineStr">
        <is>
          <t>Within 2 hours</t>
        </is>
      </c>
      <c r="E38" s="5" t="n">
        <v>2</v>
      </c>
      <c r="F38" s="5" t="inlineStr">
        <is>
          <t>Restrict affected functionality; increase monitoring; notify facility admins; begin root cause analysis</t>
        </is>
      </c>
      <c r="G38" s="5" t="inlineStr">
        <is>
          <t>VP Engineering</t>
        </is>
      </c>
    </row>
    <row r="39">
      <c r="A39" s="5" t="inlineStr">
        <is>
          <t>S3</t>
        </is>
      </c>
      <c r="B39" s="5" t="inlineStr">
        <is>
          <t>Medium</t>
        </is>
      </c>
      <c r="C39" s="5" t="inlineStr">
        <is>
          <t>Degraded performance or moderate compliance concern; prompt action needed</t>
        </is>
      </c>
      <c r="D39" s="5" t="inlineStr">
        <is>
          <t>Within 24 hours</t>
        </is>
      </c>
      <c r="E39" s="5" t="n">
        <v>24</v>
      </c>
      <c r="F39" s="5" t="inlineStr">
        <is>
          <t>Implement temporary guardrails; increase monitoring for affected metrics; schedule fix in next sprint</t>
        </is>
      </c>
      <c r="G39" s="5" t="inlineStr">
        <is>
          <t>AI Governance Analyst</t>
        </is>
      </c>
    </row>
    <row r="40">
      <c r="A40" s="5" t="inlineStr">
        <is>
          <t>S4</t>
        </is>
      </c>
      <c r="B40" s="5" t="inlineStr">
        <is>
          <t>Low</t>
        </is>
      </c>
      <c r="C40" s="5" t="inlineStr">
        <is>
          <t>Minor issue with limited impact; scheduled resolution acceptable</t>
        </is>
      </c>
      <c r="D40" s="5" t="inlineStr">
        <is>
          <t>Within 1 week</t>
        </is>
      </c>
      <c r="E40" s="5" t="n">
        <v>168</v>
      </c>
      <c r="F40" s="5" t="inlineStr">
        <is>
          <t>Log incident; track in backlog; address in standard development cycle</t>
        </is>
      </c>
      <c r="G40" s="5" t="inlineStr">
        <is>
          <t>Data Science Team Lead</t>
        </is>
      </c>
    </row>
    <row r="42">
      <c r="A42" s="2" t="inlineStr">
        <is>
          <t>SECTION D: Your Escalation &amp; Communication Procedures</t>
        </is>
      </c>
      <c r="B42" s="2" t="n"/>
      <c r="C42" s="2" t="n"/>
      <c r="D42" s="2" t="n"/>
      <c r="E42" s="2" t="n"/>
      <c r="F42" s="2" t="n"/>
      <c r="G42" s="2" t="n"/>
      <c r="H42" s="2" t="n"/>
    </row>
    <row r="43">
      <c r="A43" s="6" t="inlineStr">
        <is>
          <t>Internal Escalation Path:</t>
        </is>
      </c>
      <c r="B43" s="5" t="inlineStr">
        <is>
          <t>Detection (automated KPI alert or physician report) → on-call Data Science lead triages and assigns severity within 15 minutes. S1: Chief Medical Officer takes incident command immediately (30-min response), full response team activated, VP Engineering, DPO, and Head of Compliance notified, board informed within 24 hours. S2: VP Engineering commands within 2 hours; facility admins notified. S3: AI Governance Analyst within 24 hours. S4: Data Science Team Lead, standard backlog. Any severity upgrade re-routes the chain immediately to the higher commander.</t>
        </is>
      </c>
      <c r="C43" s="7" t="n"/>
      <c r="D43" s="7" t="n"/>
      <c r="E43" s="7" t="n"/>
      <c r="F43" s="7" t="n"/>
      <c r="G43" s="7" t="n"/>
      <c r="H43" s="8" t="n"/>
    </row>
    <row r="44">
      <c r="A44" s="6" t="inlineStr">
        <is>
          <t>External Notification (Regulatory):</t>
        </is>
      </c>
      <c r="B44" s="5" t="inlineStr">
        <is>
          <t>Per EU AI Act Art. 62, serious incidents (any S1, and S2 events involving patient harm, PII exposure, or systematic bias) are reported to the national market surveillance authority within 15 days of awareness — immediately upon establishing a causal link for death or serious harm. In parallel: GDPR Art. 33 breach notification to the supervisory authority within 72 hours for privacy incidents (INC-04, INC-08), and MDR vigilance reporting for device-related harm. The DPO and Head of Compliance jointly own the notification register and regulator liaison.</t>
        </is>
      </c>
      <c r="C44" s="7" t="n"/>
      <c r="D44" s="7" t="n"/>
      <c r="E44" s="7" t="n"/>
      <c r="F44" s="7" t="n"/>
      <c r="G44" s="7" t="n"/>
      <c r="H44" s="8" t="n"/>
    </row>
    <row r="45">
      <c r="A45" s="6" t="inlineStr">
        <is>
          <t>Communication to Affected Users:</t>
        </is>
      </c>
      <c r="B45" s="5" t="inlineStr">
        <is>
          <t>For S1/S2: in-app status banner plus direct email to facility administrators within 1 hour, stating affected functionality and instructing reversion to the standard (non-AI) clinical workflow. If suspended, clinicians see an explicit out-of-service notice rather than silent degradation. A public status page tracks restoration; a post-incident summary goes to all affected clinical users, with retraining required if system behavior changed after the fix.</t>
        </is>
      </c>
      <c r="C45" s="7" t="n"/>
      <c r="D45" s="7" t="n"/>
      <c r="E45" s="7" t="n"/>
      <c r="F45" s="7" t="n"/>
      <c r="G45" s="7" t="n"/>
      <c r="H45" s="8" t="n"/>
    </row>
    <row r="46">
      <c r="A46" s="6" t="inlineStr">
        <is>
          <t>Lessons Learned Process:</t>
        </is>
      </c>
      <c r="B46" s="5" t="inlineStr">
        <is>
          <t>Blameless post-incident review within 5 business days for S1/S2 (next sprint for S3/S4), producing a root-cause analysis and corrective actions. Findings feed back into governance: risk register updates (likelihood/impact rescoring), KPI threshold recalibration, model retraining backlog, and runbook updates. The governance committee reviews incident trends quarterly as part of the Article 9 continuous risk-management process.</t>
        </is>
      </c>
      <c r="C46" s="7" t="n"/>
      <c r="D46" s="7" t="n"/>
      <c r="E46" s="7" t="n"/>
      <c r="F46" s="7" t="n"/>
      <c r="G46" s="7" t="n"/>
      <c r="H46" s="8" t="n"/>
    </row>
    <row r="47">
      <c r="A47" s="6" t="inlineStr">
        <is>
          <t>Monitoring Gaps You Identified:</t>
        </is>
      </c>
      <c r="B47" s="5" t="inlineStr">
        <is>
          <t>Four gaps between the Risk Register and the 16 KPIs: 1) No KPI tracks physician override rate, the primary automation-bias signal for R-007. 2) No KPI monitors adversarial/prompt-injection attempts (INC-06, Art. 15 robustness) beyond generic security monitoring. 3) No KPI tracks vendor model-version changes and post-update regression results (R-005). 4) Cross-border transfer compliance (R-008) has no monitoring KPI — SCC/TIA status is checked only ad hoc. Also note KPI-002 (hallucination rate) is already failing at 3.4% vs the &lt;2% threshold at baseline.</t>
        </is>
      </c>
      <c r="C47" s="7" t="n"/>
      <c r="D47" s="7" t="n"/>
      <c r="E47" s="7" t="n"/>
      <c r="F47" s="7" t="n"/>
      <c r="G47" s="7" t="n"/>
      <c r="H47" s="8" t="n"/>
    </row>
  </sheetData>
  <mergeCells count="6">
    <mergeCell ref="B44:H44"/>
    <mergeCell ref="B43:H43"/>
    <mergeCell ref="B47:H47"/>
    <mergeCell ref="A1:H1"/>
    <mergeCell ref="B45:H45"/>
    <mergeCell ref="B46:H46"/>
  </mergeCell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D38"/>
  <sheetViews>
    <sheetView workbookViewId="0">
      <selection activeCell="A1" sqref="A1"/>
    </sheetView>
  </sheetViews>
  <sheetFormatPr baseColWidth="8" defaultRowHeight="15"/>
  <cols>
    <col width="30" customWidth="1" min="1" max="1"/>
    <col width="35" customWidth="1" min="2" max="2"/>
    <col width="35" customWidth="1" min="3" max="3"/>
    <col width="35" customWidth="1" min="4" max="4"/>
  </cols>
  <sheetData>
    <row r="1">
      <c r="A1" s="20" t="inlineStr">
        <is>
          <t>EXECUTIVE GOVERNANCE SUMMARY — BOARD BRIEFING</t>
        </is>
      </c>
    </row>
    <row r="2">
      <c r="A2" s="21" t="inlineStr">
        <is>
          <t>Synthesize ALL your findings from the notebook and previous sheets into a board-ready summary.</t>
        </is>
      </c>
    </row>
    <row r="4">
      <c r="A4" s="2" t="inlineStr">
        <is>
          <t>1. SYSTEM OVERVIEW</t>
        </is>
      </c>
      <c r="B4" s="2" t="n"/>
      <c r="C4" s="2" t="n"/>
      <c r="D4" s="2" t="n"/>
    </row>
    <row r="5">
      <c r="A5" s="6" t="inlineStr">
        <is>
          <t>System:</t>
        </is>
      </c>
      <c r="B5" s="5" t="inlineStr">
        <is>
          <t>ClinicalCompanion v1.0 — a generative-AI clinical decision support system (CDSS) built on the third-party FoundationHealth Medical LLM v3.2 (7B parameters, API).</t>
        </is>
      </c>
      <c r="C5" s="7" t="n"/>
      <c r="D5" s="8" t="n"/>
    </row>
    <row r="6">
      <c r="A6" s="6" t="inlineStr">
        <is>
          <t>Purpose:</t>
        </is>
      </c>
      <c r="B6" s="5" t="inlineStr">
        <is>
          <t>Analyzes de-identified patient records and generates ranked diagnostic suggestions, differential-diagnosis reasoning, guideline-mapped treatment considerations, and critical-finding/drug-interaction flags for licensed physicians. Physicians review and approve every suggestion; the system takes no autonomous decisions.</t>
        </is>
      </c>
      <c r="C6" s="7" t="n"/>
      <c r="D6" s="8" t="n"/>
    </row>
    <row r="7">
      <c r="A7" s="6" t="inlineStr">
        <is>
          <t>Target Market:</t>
        </is>
      </c>
      <c r="B7" s="5" t="inlineStr">
        <is>
          <t>EU launch targeted within 3 months, phased: Phase 1 pilot in 3 German hospitals (Months 1-3, 50 users), Phase 2 expansion to 12 hospitals in DE/FR/NL (Months 4-8, 300 users), Phase 3 EU-wide general availability (Months 9-12, ~2,000 users).</t>
        </is>
      </c>
      <c r="C7" s="7" t="n"/>
      <c r="D7" s="8" t="n"/>
    </row>
    <row r="9">
      <c r="A9" s="2" t="inlineStr">
        <is>
          <t>2. RISK CLASSIFICATION</t>
        </is>
      </c>
      <c r="B9" s="2" t="n"/>
      <c r="C9" s="2" t="n"/>
      <c r="D9" s="2" t="n"/>
    </row>
    <row r="10">
      <c r="A10" s="6" t="inlineStr">
        <is>
          <t>EU AI Act Classification:</t>
        </is>
      </c>
      <c r="B10" s="5" t="inlineStr">
        <is>
          <t>HIGH-RISK AI system under Article 6(1) EU AI Act — the system is a medical device covered by Annex I harmonisation legislation (MDR 2017/745); not Annex III-listed and engages in no Article 5 prohibited practices. Articles 8-15 apply in full.</t>
        </is>
      </c>
      <c r="C10" s="7" t="n"/>
      <c r="D10" s="8" t="n"/>
    </row>
    <row r="11">
      <c r="A11" s="6" t="inlineStr">
        <is>
          <t>MDR Classification:</t>
        </is>
      </c>
      <c r="B11" s="5" t="inlineStr">
        <is>
          <t>MDR 2017/745 Class IIa (Rule 11 — software providing information for diagnostic decisions). CE marking application submitted; awaiting Notified Body.</t>
        </is>
      </c>
      <c r="C11" s="7" t="n"/>
      <c r="D11" s="8" t="n"/>
    </row>
    <row r="12">
      <c r="A12" s="6" t="inlineStr">
        <is>
          <t>Key Regulatory Obligations:</t>
        </is>
      </c>
      <c r="B12" s="5" t="inlineStr">
        <is>
          <t>1) Notified Body conformity assessment and CE marking before market placement. 2) Article 9 continuous risk management and Article 10 data governance/representativeness. 3) Article 15 accuracy and robustness (hallucination rate is the open Critical gap). 4) Article 62 post-market serious-incident reporting, plus GDPR Chapter V safeguards for US data transfers.</t>
        </is>
      </c>
      <c r="C12" s="7" t="n"/>
      <c r="D12" s="8" t="n"/>
    </row>
    <row r="14">
      <c r="A14" s="2" t="inlineStr">
        <is>
          <t>3. COMPLIANCE READINESS</t>
        </is>
      </c>
      <c r="B14" s="2" t="n"/>
      <c r="C14" s="2" t="n"/>
      <c r="D14" s="2" t="n"/>
    </row>
    <row r="15">
      <c r="A15" s="6" t="inlineStr">
        <is>
          <t>Overall Readiness:</t>
        </is>
      </c>
      <c r="B15" s="5" t="inlineStr">
        <is>
          <t>62.5% overall — the average of six areas scored from the gap analysis: EU AI Act conformity 45%, MDR CE marking 55%, GDPR DPIA 60%, technical documentation 55%, post-market monitoring 70%, human oversight 90%. Of 16 Articles 8-15 requirements, only 2 are compliant today; 1 Critical and 5 High gaps remain open.</t>
        </is>
      </c>
      <c r="C15" s="7" t="n"/>
      <c r="D15" s="8" t="n"/>
    </row>
    <row r="16">
      <c r="A16" s="6" t="inlineStr">
        <is>
          <t>Critical Gaps:</t>
        </is>
      </c>
      <c r="B16" s="5" t="inlineStr">
        <is>
          <t>1) Article 15 Accuracy — hallucination rate 3.4% vs &lt;2% target (Critical). 2) Article 9 — risk management not yet a formalized continuous process; residual risk evaluation not started. 3) Article 10 — third-party training data governance unclear and datasets underrepresent key populations. 4) Article 15 Robustness — no adversarial testing performed.</t>
        </is>
      </c>
      <c r="C16" s="7" t="n"/>
      <c r="D16" s="8" t="n"/>
    </row>
    <row r="17">
      <c r="A17" s="6" t="inlineStr">
        <is>
          <t>Timeline to Full Compliance:</t>
        </is>
      </c>
      <c r="B17" s="5" t="inlineStr">
        <is>
          <t>Approximately 3 months, driven by the Notified Body conformity assessment lead time and the Month-3 completion of Article 10 data augmentation; the Critical hallucination fix is scheduled for Month 1.</t>
        </is>
      </c>
      <c r="C17" s="7" t="n"/>
      <c r="D17" s="8" t="n"/>
    </row>
    <row r="19">
      <c r="A19" s="2" t="inlineStr">
        <is>
          <t>4. KEY RISKS</t>
        </is>
      </c>
      <c r="B19" s="2" t="n"/>
      <c r="C19" s="2" t="n"/>
      <c r="D19" s="2" t="n"/>
    </row>
    <row r="20">
      <c r="A20" s="6" t="inlineStr">
        <is>
          <t>Top Risk:</t>
        </is>
      </c>
      <c r="B20" s="5" t="inlineStr">
        <is>
          <t>R-001 Clinical hallucinations (likelihood 4 × impact 5 = 20, Critical): the model fabricates plausible medical references or diagnoses at a 3.4% rate. This is a direct patient-safety exposure and the single Critical EU AI Act gap; mitigation (output verification layer, confidence thresholds, physician feedback loop) is in progress and projected to halve the risk to 10.</t>
        </is>
      </c>
      <c r="C20" s="7" t="n"/>
      <c r="D20" s="8" t="n"/>
    </row>
    <row r="21">
      <c r="A21" s="6" t="inlineStr">
        <is>
          <t>Risk Landscape:</t>
        </is>
      </c>
      <c r="B21" s="5" t="inlineStr">
        <is>
          <t>8 risks on the register: 1 Critical (score 20), 5 High (15-16), 2 Medium (12); average score 15.0, maximum 20. By NIST AI RMF function, Measure carries the highest total risk (32), followed by Map (31), Govern (30), and Manage (27).</t>
        </is>
      </c>
      <c r="C21" s="7" t="n"/>
      <c r="D21" s="8" t="n"/>
    </row>
    <row r="22">
      <c r="A22" s="6" t="inlineStr">
        <is>
          <t>Mitigation Effectiveness:</t>
        </is>
      </c>
      <c r="B22" s="5" t="inlineStr">
        <is>
          <t>Planned mitigations reduce total risk from 120 to 63 — a 47.5% reduction. Best: R-003 EU AI Act non-compliance (-66.7%); weakest: R-004 re-identification and R-005 vendor dependency (-33.3% each, both retaining residual scores of 10 and 8). Sufficient only if fully implemented — today every mitigation is still Planned or In Progress, so the residual posture is not yet earned.</t>
        </is>
      </c>
      <c r="C22" s="7" t="n"/>
      <c r="D22" s="8" t="n"/>
    </row>
    <row r="24">
      <c r="A24" s="2" t="inlineStr">
        <is>
          <t>5. VENDOR ASSESSMENT</t>
        </is>
      </c>
      <c r="B24" s="2" t="n"/>
      <c r="C24" s="2" t="n"/>
      <c r="D24" s="2" t="n"/>
    </row>
    <row r="25">
      <c r="A25" s="6" t="inlineStr">
        <is>
          <t>Vendor:</t>
        </is>
      </c>
      <c r="B25" s="5" t="inlineStr">
        <is>
          <t>FoundationHealth Inc. — overall vendor governance score 88/135 (65.2%), Medium Risk. Four of five categories sit at exactly 60%; only Data Privacy &amp; Security (83.3%) rates Low Risk.</t>
        </is>
      </c>
      <c r="C25" s="7" t="n"/>
      <c r="D25" s="8" t="n"/>
    </row>
    <row r="26">
      <c r="A26" s="6" t="inlineStr">
        <is>
          <t>Recommendation:</t>
        </is>
      </c>
      <c r="B26" s="5" t="inlineStr">
        <is>
          <t>CONDITIONAL APPROVAL — proceed only with contract amendments: Article 10-grade training data documentation, joint Transfer Impact Assessment, model escrow/portability, self-service rollback, joint incident protocol, and clinical-outcome liability coverage.</t>
        </is>
      </c>
      <c r="C26" s="7" t="n"/>
      <c r="D26" s="8" t="n"/>
    </row>
    <row r="27">
      <c r="A27" s="6" t="inlineStr">
        <is>
          <t>Key Concern:</t>
        </is>
      </c>
      <c r="B27" s="5" t="inlineStr">
        <is>
          <t>Concentration risk: a 4-year-old, not-yet-profitable startup controls the model weights, update cadence, and API availability (API-only, no escrow), while liability is capped at 12 months of fees with no clinical-outcome coverage. A vendor failure or unilateral model change would halt or silently alter clinical operations.</t>
        </is>
      </c>
      <c r="C27" s="7" t="n"/>
      <c r="D27" s="8" t="n"/>
    </row>
    <row r="29">
      <c r="A29" s="2" t="inlineStr">
        <is>
          <t>6. MODEL PERFORMANCE</t>
        </is>
      </c>
      <c r="B29" s="2" t="n"/>
      <c r="C29" s="2" t="n"/>
      <c r="D29" s="2" t="n"/>
    </row>
    <row r="30">
      <c r="A30" s="6" t="inlineStr">
        <is>
          <t>Overall Accuracy:</t>
        </is>
      </c>
      <c r="B30" s="5" t="inlineStr">
        <is>
          <t>Top-3 diagnostic accuracy 91.7% vs 90% target — meets target overall (n=45,000 held-out cases).</t>
        </is>
      </c>
      <c r="C30" s="7" t="n"/>
      <c r="D30" s="8" t="n"/>
    </row>
    <row r="31">
      <c r="A31" s="6" t="inlineStr">
        <is>
          <t>Fairness Concerns:</t>
        </is>
      </c>
      <c r="B31" s="5" t="inlineStr">
        <is>
          <t>Four subgroups below the 90% target: Rare Diseases 71.2%, Multi-morbidity (4+) 74.0%, Non-English Notes 84.3%, Age 65+ 88.9%. The non-English gap is strategically critical for the DE/FR/NL launch markets.</t>
        </is>
      </c>
      <c r="C31" s="7" t="n"/>
      <c r="D31" s="8" t="n"/>
    </row>
    <row r="32">
      <c r="A32" s="6" t="inlineStr">
        <is>
          <t>Critical Issue:</t>
        </is>
      </c>
      <c r="B32" s="5" t="inlineStr">
        <is>
          <t>Hallucination rate 3.4% vs &lt;2% target: roughly 1 in 30 suggestions may contain fabricated references or diagnoses reaching a physician. This is the top patient-safety risk (R-001) and the one Critical compliance gap; it must be below 2% before any launch.</t>
        </is>
      </c>
      <c r="C32" s="7" t="n"/>
      <c r="D32" s="8" t="n"/>
    </row>
    <row r="34">
      <c r="A34" s="2" t="inlineStr">
        <is>
          <t>7. BOARD RECOMMENDATION</t>
        </is>
      </c>
      <c r="B34" s="2" t="n"/>
      <c r="C34" s="2" t="n"/>
      <c r="D34" s="2" t="n"/>
    </row>
    <row r="35">
      <c r="A35" s="6" t="inlineStr">
        <is>
          <t>Launch Readiness:</t>
        </is>
      </c>
      <c r="B35" s="5" t="inlineStr">
        <is>
          <t>CONDITIONAL</t>
        </is>
      </c>
      <c r="C35" s="7" t="n"/>
      <c r="D35" s="8" t="n"/>
    </row>
    <row r="36">
      <c r="A36" s="6" t="inlineStr">
        <is>
          <t>Conditions for Launch:</t>
        </is>
      </c>
      <c r="B36" s="5" t="inlineStr">
        <is>
          <t>Launch only after: 1) hallucination rate verified below 2%; 2) Notified Body conformity assessment passed and CE marking obtained; 3) FoundationHealth contract amendments signed; 4) DPIA updated and joint Transfer Impact Assessment completed; 5) scope restricted to the Phase-1 German pilot with enhanced monitoring.</t>
        </is>
      </c>
      <c r="C36" s="7" t="n"/>
      <c r="D36" s="8" t="n"/>
    </row>
    <row r="37">
      <c r="A37" s="6" t="inlineStr">
        <is>
          <t>Required Actions (prioritized):</t>
        </is>
      </c>
      <c r="B37" s="5" t="inlineStr">
        <is>
          <t>1) Deploy the output verification layer and close the hallucination gap (Month 1 — VP Engineering). 2) Complete conformity assessment and Annex IV technical documentation (Month 2 — Head of Compliance). 3) Execute vendor contract amendments with FoundationHealth (Month 2 — Legal/Vendor Liaison). 4) Update DPIA and complete the joint TIA for US transfers (Month 2 — DPO). 5) Deliver Article 10 data augmentation for rare-disease, non-English, and multi-morbidity subgroups (Month 3 — CMO).</t>
        </is>
      </c>
      <c r="C37" s="7" t="n"/>
      <c r="D37" s="8" t="n"/>
    </row>
    <row r="38">
      <c r="A38" s="6" t="inlineStr">
        <is>
          <t>Estimated Time to Readiness:</t>
        </is>
      </c>
      <c r="B38" s="5" t="inlineStr">
        <is>
          <t>~3 months to a conditional Phase-1 pilot launch; EU-wide general availability no earlier than Month 9 per the phased deployment plan, contingent on pilot KPIs and closure of all High-severity gaps.</t>
        </is>
      </c>
      <c r="C38" s="7" t="n"/>
      <c r="D38" s="8" t="n"/>
    </row>
  </sheetData>
  <mergeCells count="24">
    <mergeCell ref="B11:D11"/>
    <mergeCell ref="B17:D17"/>
    <mergeCell ref="B38:D38"/>
    <mergeCell ref="B10:D10"/>
    <mergeCell ref="B37:D37"/>
    <mergeCell ref="B30:D30"/>
    <mergeCell ref="B15:D15"/>
    <mergeCell ref="B6:D6"/>
    <mergeCell ref="B20:D20"/>
    <mergeCell ref="A1:D1"/>
    <mergeCell ref="B5:D5"/>
    <mergeCell ref="B36:D36"/>
    <mergeCell ref="B32:D32"/>
    <mergeCell ref="B35:D35"/>
    <mergeCell ref="B26:D26"/>
    <mergeCell ref="B7:D7"/>
    <mergeCell ref="B25:D25"/>
    <mergeCell ref="B16:D16"/>
    <mergeCell ref="B31:D31"/>
    <mergeCell ref="B22:D22"/>
    <mergeCell ref="B27:D27"/>
    <mergeCell ref="B21:D21"/>
    <mergeCell ref="A2:D2"/>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2026-02-10T23:45:21Z</dcterms:created>
  <dcterms:modified xsi:type="dcterms:W3CDTF">2026-10-04T11:24:53Z</dcterms:modified>
</cp:coreProperties>
</file>